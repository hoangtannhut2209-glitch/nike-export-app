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defaultThemeVersion="124226"/>
  <mc:AlternateContent xmlns:mc="http://schemas.openxmlformats.org/markup-compatibility/2006">
    <mc:Choice Requires="x15">
      <x15ac:absPath xmlns:x15ac="http://schemas.microsoft.com/office/spreadsheetml/2010/11/ac" url="\\Maychu-new2024\nam 2025\TAT CA CAC CONG TY\GREENTECH\HO SO XIN CO 2025\NIKE\Data\"/>
    </mc:Choice>
  </mc:AlternateContent>
  <xr:revisionPtr revIDLastSave="0" documentId="13_ncr:1_{1000BB97-FCAA-4A60-9C3E-E2E978F6669D}" xr6:coauthVersionLast="47" xr6:coauthVersionMax="47" xr10:uidLastSave="{00000000-0000-0000-0000-000000000000}"/>
  <bookViews>
    <workbookView xWindow="-60" yWindow="-60" windowWidth="28920" windowHeight="15600" xr2:uid="{00000000-000D-0000-FFFF-FFFF00000000}"/>
  </bookViews>
  <sheets>
    <sheet name="CPTPP CANADA" sheetId="1" r:id="rId1"/>
    <sheet name="CPTPP MEXICO" sheetId="2" r:id="rId2"/>
    <sheet name="D" sheetId="3" r:id="rId3"/>
    <sheet name="AANZ" sheetId="4" r:id="rId4"/>
    <sheet name="AK" sheetId="5" r:id="rId5"/>
    <sheet name="CONG VAN ASI " sheetId="6" r:id="rId6"/>
    <sheet name="CONG VAN CTH" sheetId="7" r:id="rId7"/>
    <sheet name="Data" sheetId="8" r:id="rId8"/>
  </sheets>
  <functionGroups builtInGroupCount="19"/>
  <definedNames>
    <definedName name="_9연봉입력">#REF!</definedName>
    <definedName name="_Fill" hidden="1">#REF!</definedName>
    <definedName name="_xlnm._FilterDatabase" localSheetId="7" hidden="1">Data!$A$7:$P$39</definedName>
    <definedName name="_H350">#REF!</definedName>
    <definedName name="_Key1" localSheetId="5" hidden="1">#REF!</definedName>
    <definedName name="_Key1" localSheetId="6" hidden="1">#REF!</definedName>
    <definedName name="_Key1" hidden="1">#REF!</definedName>
    <definedName name="_Key2" localSheetId="5" hidden="1">#REF!</definedName>
    <definedName name="_Key2" localSheetId="6" hidden="1">#REF!</definedName>
    <definedName name="_Key2" hidden="1">#REF!</definedName>
    <definedName name="_Order1" hidden="1">255</definedName>
    <definedName name="_Order2" hidden="1">255</definedName>
    <definedName name="_Sort" localSheetId="5" hidden="1">#REF!</definedName>
    <definedName name="_Sort" localSheetId="6" hidden="1">#REF!</definedName>
    <definedName name="_Sort" hidden="1">#REF!</definedName>
    <definedName name="A">#REF!</definedName>
    <definedName name="ACCESS중급">#REF!</definedName>
    <definedName name="ACCESS초급">#REF!</definedName>
    <definedName name="B">#REF!</definedName>
    <definedName name="BBB">#REF!</definedName>
    <definedName name="_xlnm.Criteria">#REF!</definedName>
    <definedName name="d">#REF!</definedName>
    <definedName name="_xlnm.Database" hidden="1">#REF!</definedName>
    <definedName name="Documents_array">#REF!</definedName>
    <definedName name="DONG">#REF!</definedName>
    <definedName name="dongia">#REF!</definedName>
    <definedName name="EXCEL고급">#REF!</definedName>
    <definedName name="EXCEL중급">#REF!</definedName>
    <definedName name="f">#REF!</definedName>
    <definedName name="gia">#REF!</definedName>
    <definedName name="HEC">#REF!</definedName>
    <definedName name="HTML_CodePage" hidden="1">950</definedName>
    <definedName name="HTML_Control" localSheetId="3" hidden="1">{"'Sheet1'!$L$16"}</definedName>
    <definedName name="HTML_Control" localSheetId="5" hidden="1">{"'Sheet1'!$L$16"}</definedName>
    <definedName name="HTML_Control" localSheetId="6" hidden="1">{"'Sheet1'!$L$16"}</definedName>
    <definedName name="HTML_Control" hidden="1">{"'Sheet1'!$L$16"}</definedName>
    <definedName name="HTML_Description" hidden="1">""</definedName>
    <definedName name="HTML_Email" hidden="1">""</definedName>
    <definedName name="HTML_Header" hidden="1">"Sheet1"</definedName>
    <definedName name="HTML_LastUpdate" hidden="1">"2000/9/14"</definedName>
    <definedName name="HTML_LineAfter" hidden="1">FALSE</definedName>
    <definedName name="HTML_LineBefore" hidden="1">FALSE</definedName>
    <definedName name="HTML_Name" hidden="1">"J.C.WONG"</definedName>
    <definedName name="HTML_OBDlg2" hidden="1">TRUE</definedName>
    <definedName name="HTML_OBDlg4" hidden="1">TRUE</definedName>
    <definedName name="HTML_OS" hidden="1">0</definedName>
    <definedName name="HTML_PathFile" hidden="1">"C:\2689\Q\國內\00q3961台化龍德PTA3建造\MyHTML.htm"</definedName>
    <definedName name="HTML_Title" hidden="1">"00Q3961-SUM"</definedName>
    <definedName name="HWP">#REF!</definedName>
    <definedName name="INTERNET중급">#REF!</definedName>
    <definedName name="INTERNET초급">#REF!</definedName>
    <definedName name="kkk">#REF!</definedName>
    <definedName name="KSVT">#REF!</definedName>
    <definedName name="luong">#REF!</definedName>
    <definedName name="Mainmaterial">#REF!</definedName>
    <definedName name="MSWORD">#REF!</definedName>
    <definedName name="NEGO">#REF!</definedName>
    <definedName name="PICTURE1">#REF!</definedName>
    <definedName name="PL법">#REF!</definedName>
    <definedName name="POWERPOINT">#REF!</definedName>
    <definedName name="PPP">#REF!</definedName>
    <definedName name="_xlnm.Print_Area" localSheetId="3">AANZ!$A$1:$H$65</definedName>
    <definedName name="_xlnm.Print_Area" localSheetId="4">AK!$A$1:$AA$68</definedName>
    <definedName name="_xlnm.Print_Area" localSheetId="5">'CONG VAN ASI '!$A$1:$E$38</definedName>
    <definedName name="_xlnm.Print_Area" localSheetId="6">'CONG VAN CTH'!$A$1:$H$41</definedName>
    <definedName name="_xlnm.Print_Area" localSheetId="0">'CPTPP CANADA'!$A$2:$T$65</definedName>
    <definedName name="_xlnm.Print_Area" localSheetId="1">'CPTPP MEXICO'!$A$2:$T$65</definedName>
    <definedName name="_xlnm.Print_Area" localSheetId="2">D!$A$1:$P$69</definedName>
    <definedName name="QQQ">#REF!</definedName>
    <definedName name="solver_eng" localSheetId="7" hidden="1">1</definedName>
    <definedName name="solver_neg" localSheetId="7" hidden="1">1</definedName>
    <definedName name="solver_num" localSheetId="7" hidden="1">0</definedName>
    <definedName name="solver_typ" localSheetId="7" hidden="1">1</definedName>
    <definedName name="solver_val" localSheetId="7" hidden="1">0</definedName>
    <definedName name="solver_ver" localSheetId="7" hidden="1">3</definedName>
    <definedName name="SPC">#REF!</definedName>
    <definedName name="SQC">#REF!</definedName>
    <definedName name="TPM기본">#REF!</definedName>
    <definedName name="TPM심화">#REF!</definedName>
    <definedName name="TR">#REF!</definedName>
    <definedName name="v">#REF!</definedName>
    <definedName name="VBM기본">#REF!</definedName>
    <definedName name="VBM전략">#REF!</definedName>
    <definedName name="갈등관리">#REF!</definedName>
    <definedName name="경영계획수립">#REF!</definedName>
    <definedName name="구미1">#REF!</definedName>
    <definedName name="국제매너">#REF!</definedName>
    <definedName name="국제협상">#REF!</definedName>
    <definedName name="낭비개선">#REF!</definedName>
    <definedName name="대상">#REF!</definedName>
    <definedName name="도급대실행대비내역">#REF!</definedName>
    <definedName name="동력팀">#REF!</definedName>
    <definedName name="리더십">#REF!</definedName>
    <definedName name="마케팅">#REF!</definedName>
    <definedName name="마케팅기본">#REF!</definedName>
    <definedName name="마케팅심화">#REF!</definedName>
    <definedName name="마케팅전략">#REF!</definedName>
    <definedName name="문제해결">#REF!</definedName>
    <definedName name="변압기">#REF!</definedName>
    <definedName name="보고서">#REF!</definedName>
    <definedName name="부하육성">#REF!</definedName>
    <definedName name="비지니스레터">#REF!</definedName>
    <definedName name="산업기계">#REF!</definedName>
    <definedName name="생산전문가">#REF!</definedName>
    <definedName name="서식">#REF!</definedName>
    <definedName name="서식임">#REF!</definedName>
    <definedName name="섬유원료">#REF!</definedName>
    <definedName name="성형PU">#REF!</definedName>
    <definedName name="소">#REF!</definedName>
    <definedName name="수출입실무">#REF!</definedName>
    <definedName name="순기본">#REF!</definedName>
    <definedName name="신뢰성공학">#REF!</definedName>
    <definedName name="실험계획법">#REF!</definedName>
    <definedName name="안양일정">#REF!</definedName>
    <definedName name="연구개발">#REF!</definedName>
    <definedName name="연봉">#REF!</definedName>
    <definedName name="용연1">#REF!</definedName>
    <definedName name="울산관리팀">#REF!</definedName>
    <definedName name="원가회계">#REF!</definedName>
    <definedName name="이경식">#REF!</definedName>
    <definedName name="이문화">#REF!</definedName>
    <definedName name="임시">#REF!</definedName>
    <definedName name="전략수립과정">#REF!</definedName>
    <definedName name="전략수립전문가">#REF!</definedName>
    <definedName name="전략의사결정">#REF!</definedName>
    <definedName name="조직개발">#REF!</definedName>
    <definedName name="직훈계획">#REF!</definedName>
    <definedName name="창의력개발">#REF!</definedName>
    <definedName name="채권관리">#REF!</definedName>
    <definedName name="채권관리응용">#REF!</definedName>
    <definedName name="총원">#REF!</definedName>
    <definedName name="커뮤니케이션">#REF!</definedName>
    <definedName name="컴퓨터기획">#REF!</definedName>
    <definedName name="클레임">#REF!</definedName>
    <definedName name="트랜스월드">#REF!</definedName>
    <definedName name="특허기본">#REF!</definedName>
    <definedName name="팀비젼창출">#REF!</definedName>
    <definedName name="품질관리일반">#REF!</definedName>
    <definedName name="프리젠테이션">#REF!</definedName>
    <definedName name="합계">#REF!</definedName>
    <definedName name="현장관리비">#REF!</definedName>
    <definedName name="협상능력">#REF!</definedName>
    <definedName name="ㅠ">#REF!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41" i="7" l="1"/>
  <c r="A26" i="7"/>
  <c r="F24" i="7"/>
  <c r="A24" i="7"/>
  <c r="A21" i="7"/>
  <c r="C37" i="6"/>
  <c r="A27" i="6"/>
  <c r="A16" i="6"/>
  <c r="C5" i="6"/>
  <c r="L87" i="5"/>
  <c r="C63" i="5"/>
  <c r="P62" i="5"/>
  <c r="K6" i="5"/>
  <c r="B58" i="4"/>
  <c r="F57" i="4"/>
  <c r="J62" i="2"/>
  <c r="B62" i="2"/>
  <c r="J62" i="1"/>
  <c r="B62" i="1"/>
</calcChain>
</file>

<file path=xl/sharedStrings.xml><?xml version="1.0" encoding="utf-8"?>
<sst xmlns="http://schemas.openxmlformats.org/spreadsheetml/2006/main" count="857" uniqueCount="500">
  <si>
    <t>1. Goods consigned from (Exporter's name, e-mail address,</t>
  </si>
  <si>
    <t>Reference No.</t>
  </si>
  <si>
    <t>telephone number, address and country)</t>
  </si>
  <si>
    <t>GREENTECH HEADGEAR COMPANY LIMITED
ROAD D02, CHAU DUC INDUSTRIAL ZONE, NGHIA THANH COMMUNE, CHAU DUC DISTRICT, BA RIA-VUNG TAU PROVINCE, TEL: +84-254- 3985989 EMAIL: SBl@GTHEADGEAR.COM
VIET NAM</t>
  </si>
  <si>
    <t>telephone number, address and country) (if known)</t>
  </si>
  <si>
    <t xml:space="preserve">NIKE CANADA CORP.
</t>
  </si>
  <si>
    <t>260 BRIMLEY ROAD SCARBOROUGH,</t>
  </si>
  <si>
    <t>ONTARIO, M1M3H8 TEL : +905- 678-3820</t>
  </si>
  <si>
    <t>4.   For official use</t>
  </si>
  <si>
    <t>EMAIL: JALEH.SOBHANIFAR@NIKE.COM</t>
  </si>
  <si>
    <t>CANADA</t>
  </si>
  <si>
    <t>3.   Means of transport and route (optional)</t>
  </si>
  <si>
    <t xml:space="preserve">Departure Date:
</t>
  </si>
  <si>
    <t>5. Producer (Producer's name, e-mail address, telephone</t>
  </si>
  <si>
    <t>number, address and country)</t>
  </si>
  <si>
    <t>Vessel's name/Aircraft etc.:</t>
  </si>
  <si>
    <t>GREENTECH HEADGEAR COMPANY LIMITED
ROAD D02, CHAU DUC INDUSTRIAL ZONE, NGHIA THANH COMMUNE, CHAU DUC DISTRICT, BA RIA-VUNG TAU PROVINCE, VIET NAM TEL: +84-254- 3985989 EMAIL: SBl@GTHEADGEAR.COM</t>
  </si>
  <si>
    <t>Port of Discharge:</t>
  </si>
  <si>
    <t>VANCOUVER - BC (CANADA)</t>
  </si>
  <si>
    <t>6. Item</t>
  </si>
  <si>
    <t>7. Marks, numbers  and  kind  of packages;  description of</t>
  </si>
  <si>
    <t>8. Origin</t>
  </si>
  <si>
    <t>9. Quantity</t>
  </si>
  <si>
    <t>10. Number and</t>
  </si>
  <si>
    <t>No.</t>
  </si>
  <si>
    <t>goods (including HS number oflmporting Country)</t>
  </si>
  <si>
    <t>criterion</t>
  </si>
  <si>
    <t>of goods</t>
  </si>
  <si>
    <t>date of invoices</t>
  </si>
  <si>
    <t>[Marks]</t>
  </si>
  <si>
    <t>CTH</t>
  </si>
  <si>
    <t>[Total Units]</t>
  </si>
  <si>
    <t>[Invoice Number]</t>
  </si>
  <si>
    <t>INVOICE NUMBER: [Invoice Number]</t>
  </si>
  <si>
    <t>DATE: [Date]</t>
  </si>
  <si>
    <t>QUANTITY: [Total Units] PCS OF NIKE [DESCRIPTION] GOODS</t>
  </si>
  <si>
    <t>PO: [Reference PO#]</t>
  </si>
  <si>
    <t>PLANT: [Plant]</t>
  </si>
  <si>
    <t>SHIP TO: [Customer Ship To #]</t>
  </si>
  <si>
    <t>MATERIAL: [Material]</t>
  </si>
  <si>
    <t>HS CODE : 65050090</t>
  </si>
  <si>
    <t>TOTAL: [Total Cartons In Words] CARTONS ONLY ([Total Cartons] CTNS).</t>
  </si>
  <si>
    <t>11. Declaration by the exporter</t>
  </si>
  <si>
    <t>12. Certification</t>
  </si>
  <si>
    <t>I certify that the goods described in this document qualify as</t>
  </si>
  <si>
    <t>It is hereby certified, on the basis of control carried out, that the</t>
  </si>
  <si>
    <t>originating and the information contained in this document is true</t>
  </si>
  <si>
    <t>declaration by the exporter is correct.</t>
  </si>
  <si>
    <t>and accurate. I assume responsibility for proving such</t>
  </si>
  <si>
    <t>representations and agree to maintain and present upon request or</t>
  </si>
  <si>
    <t>to make available during a verification visit, documentation</t>
  </si>
  <si>
    <t>necessary to support this certification.</t>
  </si>
  <si>
    <t>….....................................................................................
(Place and date, signature of authorised signatory)</t>
  </si>
  <si>
    <t>…...........................................................................................
(Place and date, signature and stamp of certifying authority)</t>
  </si>
  <si>
    <t>Page 1 /1</t>
  </si>
  <si>
    <t xml:space="preserve">NIKE DE MEXICO, S. DE R.L. DE C.V. </t>
  </si>
  <si>
    <t>RFC(TAX ID NO.) NME920220KL4 SAO PAULO NO. 2373 COL.</t>
  </si>
  <si>
    <t xml:space="preserve">PROVIDENCIA GUADALAJARA, JAL 44630 </t>
  </si>
  <si>
    <t xml:space="preserve">TEL : 523330032400           Lst-Mex.Trade.Customs@Nike.com </t>
  </si>
  <si>
    <t>MEXICO</t>
  </si>
  <si>
    <t>GREENTECH HEADGEAR COMPANY LIMITED
ROAD D02, CHAU DUC INDUSTRIAL ZONE, NGHIA THANH COMMUNE, CHAU DUC DISTRICT, BA RIA-VUNG TAU PROVINCE, TEL: +84-254- 3985989 EMAIL: SBl@GTHEADGEAR.COM</t>
  </si>
  <si>
    <t>TULTITLAN, MEXICO</t>
  </si>
  <si>
    <t>DRAFT</t>
  </si>
  <si>
    <t>1. Goods Consigned from (Exporter's business name, address, country)</t>
  </si>
  <si>
    <t>ASEAN TRADE IN GOODS AGREEMENT
CERTIFICATE OF ORIGIN
(Combined Declaration and Certificate)</t>
  </si>
  <si>
    <t>FORM D
Issued in VIET NAM
(Country)
See Overleaf Notes</t>
  </si>
  <si>
    <t>2. Goods consigned to (Consignee's name, address, country)</t>
  </si>
  <si>
    <t>3. Means of transport and route (as far as known)</t>
  </si>
  <si>
    <t>4. For Official Use</t>
  </si>
  <si>
    <t>Departure Date:</t>
  </si>
  <si>
    <t xml:space="preserve"> ☐ Preferential Treatment Given Under ASEAN Trade in Goods Agreement</t>
  </si>
  <si>
    <t xml:space="preserve"> ☐ Preferential Treatment Not Given (Please state reason/s)</t>
  </si>
  <si>
    <t>Signature of Authorised Signatory of the Customs Authority of the Importing Country</t>
  </si>
  <si>
    <t>5. Item number</t>
  </si>
  <si>
    <t>6. Marks and numbers on packages</t>
  </si>
  <si>
    <t>7. Number and type of packages, description of goods (including quantity where appropriate and HS number of the importing country)</t>
  </si>
  <si>
    <t>8. Origin criterion (see Overleaf
Notes)</t>
  </si>
  <si>
    <t>9. Gross weight or other quantity and FOB price where RVC is applied</t>
  </si>
  <si>
    <t>10. Number and date of invoices</t>
  </si>
  <si>
    <t>The undersigned hereby declares that the above details and statements are
correct; that all the goods were produced in</t>
  </si>
  <si>
    <t>VIET NAM</t>
  </si>
  <si>
    <t>(Country)</t>
  </si>
  <si>
    <t>and that they comply with the origin requirements specified for these goods in the
ASEAN Trade in Goods Agreement for the goods exported to</t>
  </si>
  <si>
    <t>THAILAND</t>
  </si>
  <si>
    <t>(Importing country)</t>
  </si>
  <si>
    <t>Place and date, signature of authorised signatory</t>
  </si>
  <si>
    <t>Place and date, signature and stamp of certifying authority</t>
  </si>
  <si>
    <t>13.</t>
  </si>
  <si>
    <t xml:space="preserve">        Third Country Invoicing</t>
  </si>
  <si>
    <t>□ Exhibition</t>
  </si>
  <si>
    <t>□ Accumulation</t>
  </si>
  <si>
    <t>□ De Minimis</t>
  </si>
  <si>
    <t>□ Back-to-Back CO</t>
  </si>
  <si>
    <t>□ Issued Retroactively</t>
  </si>
  <si>
    <t>□ Partial Cumulation</t>
  </si>
  <si>
    <t>Page 1 / 1</t>
  </si>
  <si>
    <t>1. Goods Consigned from (Exporter’s name, address and country)</t>
  </si>
  <si>
    <t>Certificate No.</t>
  </si>
  <si>
    <t>Form AANZ</t>
  </si>
  <si>
    <t>GREENTECH HEADGEAR COMPANY LIMITED</t>
  </si>
  <si>
    <t>AGREEMENT ESTABLISHING THE ASEAN –</t>
  </si>
  <si>
    <t>ROAD D02, CHAU DUC INDUSTRIAL ZONE, NGHIA THANH COMMUNE,</t>
  </si>
  <si>
    <t>AUSTRALIA – NEW ZEALAND FREE TRADE</t>
  </si>
  <si>
    <t xml:space="preserve">CHAU DUC DISTRICT, BA RIA-VUNG TAU PROVINCE, </t>
  </si>
  <si>
    <t>AREA (AANZFTA)</t>
  </si>
  <si>
    <t>CERTIFICATE OF ORIGIN
(Combined Declaration and Certificate)</t>
  </si>
  <si>
    <t xml:space="preserve">2. Goods Consigned to (Importer’s/ Consignee’s name, 
</t>
  </si>
  <si>
    <t>address, country)</t>
  </si>
  <si>
    <t xml:space="preserve">NIKE AUSTRALIA PTY. LTD. </t>
  </si>
  <si>
    <t xml:space="preserve">LEVEL 3, 161 COLLINS ST MELBOURNE, VIC 3000 </t>
  </si>
  <si>
    <t>Issued in VIET NAM</t>
  </si>
  <si>
    <t>AUSTRALIA</t>
  </si>
  <si>
    <t xml:space="preserve">  (Country)</t>
  </si>
  <si>
    <t xml:space="preserve">   (see Overleaf Notes)</t>
  </si>
  <si>
    <t>3. Means of transport and route (if known)</t>
  </si>
  <si>
    <t>BY SEA</t>
  </si>
  <si>
    <t>□ Preferential Treatment Given Under AANZFTA</t>
  </si>
  <si>
    <t>Shipment Date:</t>
  </si>
  <si>
    <t xml:space="preserve">□ Preferential Treatment Not Given (Please state reason/s)
     </t>
  </si>
  <si>
    <t>Vessel’s name/Aircraft etc.:</t>
  </si>
  <si>
    <t>-----------------------------------------------------------------------------------------------</t>
  </si>
  <si>
    <t>Signature of Authorised Signatory of the Importing Country</t>
  </si>
  <si>
    <t>5. Item
number</t>
  </si>
  <si>
    <t>6. Marks and
numbers on
packages</t>
  </si>
  <si>
    <t>7. Number and kind of packages; description of goods including HS Code (6 digits) and brand name (if applicable). Name of company issuing third party invoice (if applicable)</t>
  </si>
  <si>
    <t>8. Origin
Conferring
Criterion (see
Overleaf Notes)</t>
  </si>
  <si>
    <t>9. Quantity (Gross weight or
other measurement), and
value (FOB) where RVC is
applied (see Overleaf Notes)</t>
  </si>
  <si>
    <t>10. Invoice
number(s)
and date of
invoice(s)</t>
  </si>
  <si>
    <t>[DESCRIPTION]</t>
  </si>
  <si>
    <t>CTC</t>
  </si>
  <si>
    <t>MELBOURNE</t>
  </si>
  <si>
    <t>[Total Cartons] Cartons of Apparel Division Goods</t>
  </si>
  <si>
    <t>[Total Gross Kgs]</t>
  </si>
  <si>
    <t>VI AUSTRALIA</t>
  </si>
  <si>
    <t>COUNTRY OF</t>
  </si>
  <si>
    <t>Plant: [Plant]</t>
  </si>
  <si>
    <t>ORIGIN :</t>
  </si>
  <si>
    <t>Ship to: [Customer Ship To #]</t>
  </si>
  <si>
    <t>VIETNAM</t>
  </si>
  <si>
    <t>Material: [Material]</t>
  </si>
  <si>
    <t>HS Code : 650500</t>
  </si>
  <si>
    <t>TOTAL : [Total Cartons] CARTONS</t>
  </si>
  <si>
    <t>THIRD-PARTY INVOICE:</t>
  </si>
  <si>
    <t>NIKE Global Trading BV Singapore Branch</t>
  </si>
  <si>
    <t>30 Pasir Panjang Road #10-31/32 Mapletree</t>
  </si>
  <si>
    <t xml:space="preserve">Business City  Singapore 117440 Singapore </t>
  </si>
  <si>
    <t xml:space="preserve"> 11. Declaration by the exporter</t>
  </si>
  <si>
    <t xml:space="preserve"> 12. Certification</t>
  </si>
  <si>
    <t xml:space="preserve"> The undersigned hereby declares that the above details</t>
  </si>
  <si>
    <t xml:space="preserve"> On the basis of control carried out, it is hereby certified that the</t>
  </si>
  <si>
    <t xml:space="preserve"> and statements are correct; that all the goods were</t>
  </si>
  <si>
    <t xml:space="preserve"> information herein is correct and that the goods described comply</t>
  </si>
  <si>
    <t xml:space="preserve"> produced in</t>
  </si>
  <si>
    <t xml:space="preserve"> with the origin requirements specified in the Agreement Establishing</t>
  </si>
  <si>
    <t xml:space="preserve"> VIET NAM</t>
  </si>
  <si>
    <t xml:space="preserve"> the ASEAN – Australia - New Zealand Free Trade Area.</t>
  </si>
  <si>
    <t>( country)</t>
  </si>
  <si>
    <t xml:space="preserve"> and that they comply with the rules of origin, as provided</t>
  </si>
  <si>
    <t xml:space="preserve"> in Chapter 3 of the Agreement Establishing the ASEAN -</t>
  </si>
  <si>
    <t xml:space="preserve"> Australia - New Zealand Free Trade Area for the goods</t>
  </si>
  <si>
    <t xml:space="preserve"> exported to</t>
  </si>
  <si>
    <t>( importing country)</t>
  </si>
  <si>
    <t xml:space="preserve"> Place and date, signature and stamp of Authorised Issuing</t>
  </si>
  <si>
    <t xml:space="preserve"> Place and date, name, signature and company of authorised</t>
  </si>
  <si>
    <t xml:space="preserve"> Authority/Body</t>
  </si>
  <si>
    <t xml:space="preserve"> signatory</t>
  </si>
  <si>
    <t xml:space="preserve"> 13.</t>
  </si>
  <si>
    <t>□ Back-to-back Certificate of Origin</t>
  </si>
  <si>
    <t>R Subject of third-party invoice</t>
  </si>
  <si>
    <t>□ Issued retroactively</t>
  </si>
  <si>
    <t>1. Goods consigned from (Exporter's business name, address, country)</t>
  </si>
  <si>
    <t>ROAD D02, CHAU DUG INDUSTRIAL ZONE, NGHIA THANH COMMUNE,</t>
  </si>
  <si>
    <t>ASEAN-KOREA FREE TRADE AREA
PREFERENTIAL TARIFF
CERTIFICATE OF ORJGIN
(Combined Declaration and Certificate)</t>
  </si>
  <si>
    <t>CHAU DUG DISTRICT, BA RIA-VUNG TAU PROVINCE,</t>
  </si>
  <si>
    <t>FORM AK</t>
  </si>
  <si>
    <t>NIKE KOREA LLC.</t>
  </si>
  <si>
    <t>30F GANGNAM FINANCE CENTER,152, TEHERAN-RO, GANGNAM-GU,</t>
  </si>
  <si>
    <t>Issued in VIET NAM
(Country)</t>
  </si>
  <si>
    <t>SEOUL, 6236</t>
  </si>
  <si>
    <t>SOUTH KOREA</t>
  </si>
  <si>
    <t>See Notes Overleaf</t>
  </si>
  <si>
    <t xml:space="preserve"> □  Preferential Treatment Given Under ASEAN-Korea</t>
  </si>
  <si>
    <t xml:space="preserve">  Free Trade Agreement</t>
  </si>
  <si>
    <t>INCHEON (KOREA (REPUBLIC))</t>
  </si>
  <si>
    <t xml:space="preserve"> □ Preferential Treatment Not Given</t>
  </si>
  <si>
    <t xml:space="preserve">  (Please state reason/s)</t>
  </si>
  <si>
    <t>6. Marks and numbers on</t>
  </si>
  <si>
    <t>7. Number and type of packages, description of</t>
  </si>
  <si>
    <t>8. Origin criterion</t>
  </si>
  <si>
    <t>9. Gross weight or</t>
  </si>
  <si>
    <t>packages</t>
  </si>
  <si>
    <t>goods (including quantity where appropriate and</t>
  </si>
  <si>
    <t>(see Notes</t>
  </si>
  <si>
    <t>other quantity and</t>
  </si>
  <si>
    <t>date of Invoices</t>
  </si>
  <si>
    <t>HS number of the importing country)</t>
  </si>
  <si>
    <t>Overleaf)</t>
  </si>
  <si>
    <t>value (FOB only</t>
  </si>
  <si>
    <t>when RVC</t>
  </si>
  <si>
    <t>criterion is used)</t>
  </si>
  <si>
    <t>[Total Gross Kgs] KILOGRAM</t>
  </si>
  <si>
    <t>DESC: [Desc]</t>
  </si>
  <si>
    <t>[Total Units] PIECE</t>
  </si>
  <si>
    <t>REFERENCE PO#: [Reference PO#]</t>
  </si>
  <si>
    <t>PO LINE ITEM SEQ.#: [Item Seq.]</t>
  </si>
  <si>
    <t>TOTAL: [Total Cartons] CARTONS, TOTAL: [Total Units] PCS</t>
  </si>
  <si>
    <t>HSCODE: 65050090</t>
  </si>
  <si>
    <t>TCI: NIKE GLOBAL TRADING BY SINGAPORE</t>
  </si>
  <si>
    <t>BRANCH,</t>
  </si>
  <si>
    <t>30 PASIR PANJANG ROAD #10-31/32 MAPLETREE</t>
  </si>
  <si>
    <t>BUSINESS CITY SINGAPORE 117440,</t>
  </si>
  <si>
    <t>SINGAPORE</t>
  </si>
  <si>
    <t>The undersigned hereby declares that the above details and</t>
  </si>
  <si>
    <t>statements are correct; that all the goods were produced in</t>
  </si>
  <si>
    <t>and that they comply with the origin requirements specified for</t>
  </si>
  <si>
    <t>these goods in the ASEAN-KOREA Free Trade Area Preferential</t>
  </si>
  <si>
    <t>Tariff for the  goods exported to</t>
  </si>
  <si>
    <t>(Importing Country)</t>
  </si>
  <si>
    <t>☑  Third Country Invoicing</t>
  </si>
  <si>
    <t xml:space="preserve">   ☐  Exhibition</t>
  </si>
  <si>
    <t>☐ Back-to-Back CO</t>
  </si>
  <si>
    <t>Page I/ I</t>
  </si>
  <si>
    <t>Page  1/1</t>
  </si>
  <si>
    <t xml:space="preserve">CÔNG TY TNHH </t>
  </si>
  <si>
    <t>CỘNG HÒA XÃ HỘI CHỦ NGHĨA VIỆT NAM</t>
  </si>
  <si>
    <t>GREENTECH HEADGEAR</t>
  </si>
  <si>
    <t>Độc Lập – Tự Do – Hạnh Phúc</t>
  </si>
  <si>
    <t>Kính Gửi : - PHÒNG QUẢN LÝ XUẤT NHẬP KHẨU KHU VỰC ĐỒNG NAI</t>
  </si>
  <si>
    <t>V/v : Công văn xin không thể hiện tên công ty ASI GLOBAL LIMITED lên C/O</t>
  </si>
  <si>
    <t xml:space="preserve">   CÔNG TY TNHH GREENTECH HEADGEAR trụ sở chính tại Đường D02, Khu Công Nghiệp Châu Đức, Xã Nghĩa Thành, Huyện Châu Đức, Tỉnh Bà Rịa Vũng Tàu, Việt Nam.</t>
  </si>
  <si>
    <t>Mã số thuế: 3502363838</t>
  </si>
  <si>
    <t>đường biển với chi tiết như sau:</t>
  </si>
  <si>
    <t>• Số Invoice: [Invoice Number]</t>
  </si>
  <si>
    <t>• Ngày: [Date]</t>
  </si>
  <si>
    <t>• Số Lượng: [Total Units] PCS</t>
  </si>
  <si>
    <t>• Nước nhập: [DEST]</t>
  </si>
  <si>
    <t xml:space="preserve">   Chúng tôi xin cam đoan là không có sự gian lận thương mại trong việc này. Nếu có gì sai phạm, chúng tôi xin hoàn toàn chịu trách nhiệm trước pháp luật.</t>
  </si>
  <si>
    <t>Rất mong nhận được sự quan tâm giúp đỡ của Quý phòng.</t>
  </si>
  <si>
    <t>Trân trọng kính chào.</t>
  </si>
  <si>
    <t xml:space="preserve"> </t>
  </si>
  <si>
    <t>Độc Lập – Tự Do – Hạnh Phúc.</t>
  </si>
  <si>
    <t>********</t>
  </si>
  <si>
    <t>Kính gửi: Phòng Quản Lý Xuất Nhập Khẩu Khu Vực Đồng Nai</t>
  </si>
  <si>
    <t>(v/v: Xin tinh giảm cung cấp chứng từ NL trong kê khai hàng hóa)</t>
  </si>
  <si>
    <t xml:space="preserve">   CÔNG TY TNHH GREENTECH HEADGEAR được thành lập theo giấy phép đầu tư số 3276461999 do Ban Quản Lý Các Khu Công Nghiệp Bà Rịa- Vũng Tàu cấp ngày 17 tháng 05 năm  2018.</t>
  </si>
  <si>
    <t xml:space="preserve">   Trụ sở chính tại: Đường D02, Khu Công Nghiệp Châu Đức, Xã Nghĩa Thành, Huyện Châu Đức, Tỉnh Bà Rịa Vũng Tàu, Việt Nam.</t>
  </si>
  <si>
    <t xml:space="preserve">   Mã số thuế: 3502363838 </t>
  </si>
  <si>
    <t xml:space="preserve">   Nghành nghề sản xuất: Sản xuất, gia công mũ nón các loại, bao tay, vớ, cà vạt, phụ kiện may mặc, khăn choàng, khăn lông, nón bao đầu golf, túi bao gậy golf, mũ trùm đầu Ninja, khẩu trang, khăn bịt mặt các loại, xà cạp các loại và các chi tiết, bộ phận của mũ nón, bao tay, vớ, cà vạt, phụ kiện may mặc, khăn choàng, khăn lông, nón bao đầu golf, túi bao gậy golf, mũ trùm đầu Ninja, khẩu trang, khăn bịt mặt các loại, xà cạp các loại.</t>
  </si>
  <si>
    <t>biển với nội dung như sau:</t>
  </si>
  <si>
    <t>• Số tờ khai: 307052482720</t>
  </si>
  <si>
    <t>• Tiêu chí: CTH</t>
  </si>
  <si>
    <t xml:space="preserve">   Bằng công văn này công ty chúng tôi xin cam kết rằng tất cả các số liệu chứng từ của nguyên phụ liệu kê khai trong bảng kê này là đúng với thực tế hàng hóa đồng thời đáp ứng được khoản 2 điều 15 nghị định 31/2018-ND-CP. </t>
  </si>
  <si>
    <t xml:space="preserve">   Nay chúng tôi làm công văn này kính xin Quý phòng xem xét và cấp bộ C/O nói trên, đồng thời công ty chúng tôi cũng kính xin Quý phòng xem xét cho công ty chúng tôi được miễn chứng từ đầu vào cho lô hàng này.</t>
  </si>
  <si>
    <t xml:space="preserve">   Chúng tôi xin cam đoan là hoàn toàn không có bất cứ sự gian lận thương mại nào trong vấn đề này. Rất mong nhận được sự quan tâm, giúp đỡ của Quý phòng, công ty chúng tôi xin chân thành cảm ơn.</t>
  </si>
  <si>
    <t>CÔNG TY TNHH GREENTECH HEADGEAR</t>
  </si>
  <si>
    <t>Invoice Number</t>
  </si>
  <si>
    <t>Date</t>
  </si>
  <si>
    <t>PO</t>
  </si>
  <si>
    <t>Reference PO#</t>
  </si>
  <si>
    <t>Item Seq.</t>
  </si>
  <si>
    <t>Material</t>
  </si>
  <si>
    <t>Desc</t>
  </si>
  <si>
    <t>Customer Ship To #</t>
  </si>
  <si>
    <t>Plant</t>
  </si>
  <si>
    <t>Total Gross Kgs</t>
  </si>
  <si>
    <t>Total Cartons</t>
  </si>
  <si>
    <t>Total Units</t>
  </si>
  <si>
    <t>Marks</t>
  </si>
  <si>
    <t>DESCRIPTION</t>
  </si>
  <si>
    <t>DEST</t>
  </si>
  <si>
    <t>FORM</t>
  </si>
  <si>
    <t>A165926Q</t>
  </si>
  <si>
    <t>08/10/2025</t>
  </si>
  <si>
    <t>5805377711</t>
  </si>
  <si>
    <t>4510688386</t>
  </si>
  <si>
    <t>00050</t>
  </si>
  <si>
    <t>HF0383-419</t>
  </si>
  <si>
    <t>U NK CLUB CAP U CB DENIM 24 L</t>
  </si>
  <si>
    <t>0000529250</t>
  </si>
  <si>
    <t>1060</t>
  </si>
  <si>
    <t>34.02</t>
  </si>
  <si>
    <t>4</t>
  </si>
  <si>
    <t>258</t>
  </si>
  <si>
    <t>NOCAB Sered, Ws Slovakia Country Of Origin: Vietnam</t>
  </si>
  <si>
    <t>CAP</t>
  </si>
  <si>
    <t>Ws Slovakia</t>
  </si>
  <si>
    <t>A165914Q</t>
  </si>
  <si>
    <t>5805396004</t>
  </si>
  <si>
    <t>4510725186</t>
  </si>
  <si>
    <t>00010</t>
  </si>
  <si>
    <t>FV5296-247</t>
  </si>
  <si>
    <t>U J PRO CAP S FB JUMPMAN</t>
  </si>
  <si>
    <t>0000439364</t>
  </si>
  <si>
    <t>1064</t>
  </si>
  <si>
    <t>38.08</t>
  </si>
  <si>
    <t>240</t>
  </si>
  <si>
    <t>NOCAB Wesseling, Nw Germany Country Of Origin: Vietnam</t>
  </si>
  <si>
    <t>Germany</t>
  </si>
  <si>
    <t>A165919Q</t>
  </si>
  <si>
    <t>5805397561</t>
  </si>
  <si>
    <t>4510727288</t>
  </si>
  <si>
    <t>FV5296-010</t>
  </si>
  <si>
    <t>0000503910</t>
  </si>
  <si>
    <t>22.42</t>
  </si>
  <si>
    <t>3</t>
  </si>
  <si>
    <t>144</t>
  </si>
  <si>
    <t>NOCAB Joita, Gi Romania Country Of Origin: Vietnam</t>
  </si>
  <si>
    <t>Gi Romania</t>
  </si>
  <si>
    <t>A165911Q</t>
  </si>
  <si>
    <t>5805394839</t>
  </si>
  <si>
    <t>4510724584</t>
  </si>
  <si>
    <t>FB5063-010</t>
  </si>
  <si>
    <t>K NK CLUB CAP US CB FUT WSH</t>
  </si>
  <si>
    <t>0000313950</t>
  </si>
  <si>
    <t>40.32</t>
  </si>
  <si>
    <t>288</t>
  </si>
  <si>
    <t>NOCAB Castelnovo Di Sotto, Er Italy Country Of Origin: Vietnam</t>
  </si>
  <si>
    <t>Italy</t>
  </si>
  <si>
    <t>A165915Q</t>
  </si>
  <si>
    <t>5805394838</t>
  </si>
  <si>
    <t>4510724585</t>
  </si>
  <si>
    <t>0000456173</t>
  </si>
  <si>
    <t>165.76</t>
  </si>
  <si>
    <t>10</t>
  </si>
  <si>
    <t>1,197</t>
  </si>
  <si>
    <t>NOCAB Gochsheim, By Germany Country Of Origin: Vietnam</t>
  </si>
  <si>
    <t>A165917Q</t>
  </si>
  <si>
    <t>5805394837</t>
  </si>
  <si>
    <t>4510724586</t>
  </si>
  <si>
    <t>0000462980</t>
  </si>
  <si>
    <t>163.48</t>
  </si>
  <si>
    <t>134</t>
  </si>
  <si>
    <t>804</t>
  </si>
  <si>
    <t>NOCAB Bovolone, Ve Italy Country Of Origin: Vietnam</t>
  </si>
  <si>
    <t>A165920Q</t>
  </si>
  <si>
    <t>5805399373</t>
  </si>
  <si>
    <t>4510727388</t>
  </si>
  <si>
    <t>0000510057</t>
  </si>
  <si>
    <t>34.88</t>
  </si>
  <si>
    <t>2</t>
  </si>
  <si>
    <t>252</t>
  </si>
  <si>
    <t>NOCAB Padova, Ve Italy Country Of Origin: Vietnam</t>
  </si>
  <si>
    <t>A165921Q</t>
  </si>
  <si>
    <t>5805384016</t>
  </si>
  <si>
    <t>4510703385</t>
  </si>
  <si>
    <t>00130</t>
  </si>
  <si>
    <t>FB5063-100</t>
  </si>
  <si>
    <t>0000517963</t>
  </si>
  <si>
    <t>36.44</t>
  </si>
  <si>
    <t>261</t>
  </si>
  <si>
    <t>NOCAB Goleniow, Zp Poland Country Of Origin: Vietnam</t>
  </si>
  <si>
    <t>Poland</t>
  </si>
  <si>
    <t>A165923Q</t>
  </si>
  <si>
    <t>5805399372</t>
  </si>
  <si>
    <t>4510727389</t>
  </si>
  <si>
    <t>41.76</t>
  </si>
  <si>
    <t>300</t>
  </si>
  <si>
    <t>A165924Q</t>
  </si>
  <si>
    <t>00020</t>
  </si>
  <si>
    <t>FB5063-503</t>
  </si>
  <si>
    <t>31.24</t>
  </si>
  <si>
    <t>A165910Q</t>
  </si>
  <si>
    <t>4510716304</t>
  </si>
  <si>
    <t>IB2345-429</t>
  </si>
  <si>
    <t>U NK FLY CAP U FB DENIM JDI L</t>
  </si>
  <si>
    <t>1069</t>
  </si>
  <si>
    <t>36.96</t>
  </si>
  <si>
    <t>5</t>
  </si>
  <si>
    <t>1069 Meadowdale, Pr South Africa Country Of Origin: Vietnam</t>
  </si>
  <si>
    <t>CTNS PCS CBM</t>
  </si>
  <si>
    <t>Pr South Africa</t>
  </si>
  <si>
    <t>A165916Q</t>
  </si>
  <si>
    <t>75.40</t>
  </si>
  <si>
    <t>6</t>
  </si>
  <si>
    <t>633</t>
  </si>
  <si>
    <t>A165689Q</t>
  </si>
  <si>
    <t>4510723293</t>
  </si>
  <si>
    <t>FB5380-010</t>
  </si>
  <si>
    <t>U NK DF PRO CAP S FB FUT L</t>
  </si>
  <si>
    <t>1042</t>
  </si>
  <si>
    <t>32.68</t>
  </si>
  <si>
    <t>205</t>
  </si>
  <si>
    <t>1042 Scarborough, On Canada Country Of Origin: Vietnam</t>
  </si>
  <si>
    <t>Canada</t>
  </si>
  <si>
    <t>A165927Q</t>
  </si>
  <si>
    <t>HF0383-010</t>
  </si>
  <si>
    <t>52.75</t>
  </si>
  <si>
    <t>405</t>
  </si>
  <si>
    <t>1060 Laakdal, Ap Belgium Country Of Origin: Vietnam</t>
  </si>
  <si>
    <t>Belgium</t>
  </si>
  <si>
    <t>A165931Q</t>
  </si>
  <si>
    <t>5805396379</t>
  </si>
  <si>
    <t>4510721914</t>
  </si>
  <si>
    <t>IO4452-100</t>
  </si>
  <si>
    <t>U J RISE CAP S CB - PSG</t>
  </si>
  <si>
    <t>0061584559</t>
  </si>
  <si>
    <t>37.08</t>
  </si>
  <si>
    <t>262</t>
  </si>
  <si>
    <t>1064 Ham, Lm Belgium Country Of Origin: Vietnam</t>
  </si>
  <si>
    <t>A165683Q</t>
  </si>
  <si>
    <t>4510725679</t>
  </si>
  <si>
    <t>FV5296-687</t>
  </si>
  <si>
    <t>0000291922</t>
  </si>
  <si>
    <t>88.18</t>
  </si>
  <si>
    <t>9</t>
  </si>
  <si>
    <t>576</t>
  </si>
  <si>
    <t>GLH Mississauga, On Canada Country Of Origin: Vietnam</t>
  </si>
  <si>
    <t>A165684Q</t>
  </si>
  <si>
    <t>98.56</t>
  </si>
  <si>
    <t>648</t>
  </si>
  <si>
    <t>A165925Q</t>
  </si>
  <si>
    <t>5805397560</t>
  </si>
  <si>
    <t>4510727289</t>
  </si>
  <si>
    <t>0000519992</t>
  </si>
  <si>
    <t>164.40</t>
  </si>
  <si>
    <t>15</t>
  </si>
  <si>
    <t>1,080</t>
  </si>
  <si>
    <t>A165933Q</t>
  </si>
  <si>
    <t>5805395105</t>
  </si>
  <si>
    <t>4510722472</t>
  </si>
  <si>
    <t>00030</t>
  </si>
  <si>
    <t>38.20</t>
  </si>
  <si>
    <t>251</t>
  </si>
  <si>
    <t>A166469Q</t>
  </si>
  <si>
    <t>5805440186</t>
  </si>
  <si>
    <t>4510802827</t>
  </si>
  <si>
    <t>FB5368-011</t>
  </si>
  <si>
    <t>U NK CLUB CAP U CB FUT WSH L</t>
  </si>
  <si>
    <t>17.44</t>
  </si>
  <si>
    <t>1</t>
  </si>
  <si>
    <t>126</t>
  </si>
  <si>
    <t>A165691Q</t>
  </si>
  <si>
    <t>4510723296</t>
  </si>
  <si>
    <t>IO8231-429</t>
  </si>
  <si>
    <t>K NK CLUB CAP US CB DENIM</t>
  </si>
  <si>
    <t>13.60</t>
  </si>
  <si>
    <t>94</t>
  </si>
  <si>
    <t>A165918Q</t>
  </si>
  <si>
    <t>5805397559</t>
  </si>
  <si>
    <t>4510727290</t>
  </si>
  <si>
    <t>IF8483-010</t>
  </si>
  <si>
    <t>U J CLB CAP US CB FLT SCRPT</t>
  </si>
  <si>
    <t>181.78</t>
  </si>
  <si>
    <t>149</t>
  </si>
  <si>
    <t>894</t>
  </si>
  <si>
    <t>A165932Q</t>
  </si>
  <si>
    <t>5805399782</t>
  </si>
  <si>
    <t>4510722120</t>
  </si>
  <si>
    <t>IF8483-100</t>
  </si>
  <si>
    <t>67.72</t>
  </si>
  <si>
    <t>487</t>
  </si>
  <si>
    <t>A165685Q</t>
  </si>
  <si>
    <t>09/10/2025</t>
  </si>
  <si>
    <t>4510723292</t>
  </si>
  <si>
    <t>0000505012</t>
  </si>
  <si>
    <t>28.64</t>
  </si>
  <si>
    <t>MNG Pointe Claire, Qc Canada Country Of Origin: Vietnam</t>
  </si>
  <si>
    <t>A165686Q</t>
  </si>
  <si>
    <t>00040</t>
  </si>
  <si>
    <t>33.44</t>
  </si>
  <si>
    <t>A165688Q</t>
  </si>
  <si>
    <t>19.54</t>
  </si>
  <si>
    <t>161</t>
  </si>
  <si>
    <t>A165690Q</t>
  </si>
  <si>
    <t>4510723294</t>
  </si>
  <si>
    <t>FB5625-410</t>
  </si>
  <si>
    <t>U NK DF CLUB CAP S CB P</t>
  </si>
  <si>
    <t>1.00</t>
  </si>
  <si>
    <t>A165928Q</t>
  </si>
  <si>
    <t>5805383803</t>
  </si>
  <si>
    <t>4510704188</t>
  </si>
  <si>
    <t>FQ8292-451</t>
  </si>
  <si>
    <t>U NK DF PEAK BEANIE SC P TM</t>
  </si>
  <si>
    <t>90.46</t>
  </si>
  <si>
    <t>11</t>
  </si>
  <si>
    <t>788</t>
  </si>
  <si>
    <t>SKULL CAP</t>
  </si>
  <si>
    <t>A165929Q</t>
  </si>
  <si>
    <t>5805388856</t>
  </si>
  <si>
    <t>4510711823</t>
  </si>
  <si>
    <t>135.61</t>
  </si>
  <si>
    <t>17</t>
  </si>
  <si>
    <t>1,178</t>
  </si>
  <si>
    <t>A165930Q</t>
  </si>
  <si>
    <t>A167478Q</t>
  </si>
  <si>
    <t>5805454279</t>
  </si>
  <si>
    <t>4510820961</t>
  </si>
  <si>
    <t>FQ8292-010</t>
  </si>
  <si>
    <t>8.26</t>
  </si>
  <si>
    <t>72</t>
  </si>
  <si>
    <t>A165687Q</t>
  </si>
  <si>
    <t>172.48</t>
  </si>
  <si>
    <t>1,244</t>
  </si>
  <si>
    <t>CPTPP CANADA</t>
  </si>
  <si>
    <r>
      <rPr>
        <sz val="11.5"/>
        <color rgb="FF1F1D1D"/>
        <rFont val="Times New Roman"/>
        <family val="1"/>
      </rPr>
      <t xml:space="preserve">THE COMPREHENSIVE AND PROGRESSIVE AGREEMENT FOR TRANS-PACIFIC
PARTNERSHIP
</t>
    </r>
    <r>
      <rPr>
        <b/>
        <sz val="14.5"/>
        <color rgb="FF1F1D1D"/>
        <rFont val="Times New Roman"/>
        <family val="1"/>
      </rPr>
      <t xml:space="preserve">CERTIFICATE  OF ORIGIN
</t>
    </r>
    <r>
      <rPr>
        <i/>
        <sz val="10"/>
        <color rgb="FF050505"/>
        <rFont val="Times New Roman"/>
        <family val="1"/>
      </rPr>
      <t xml:space="preserve">(Combined declaration and certificate)
</t>
    </r>
    <r>
      <rPr>
        <b/>
        <sz val="16"/>
        <color rgb="FF050505"/>
        <rFont val="Times New Roman"/>
        <family val="1"/>
      </rPr>
      <t xml:space="preserve">FORMCPTPP
</t>
    </r>
    <r>
      <rPr>
        <sz val="10"/>
        <color rgb="FF1F1D1D"/>
        <rFont val="Times New Roman"/>
        <family val="1"/>
      </rPr>
      <t>Issued in Viet Nam</t>
    </r>
  </si>
  <si>
    <r>
      <rPr>
        <sz val="15"/>
        <color rgb="FF000000"/>
        <rFont val="Aptos Narrow"/>
        <family val="2"/>
      </rPr>
      <t>□</t>
    </r>
    <r>
      <rPr>
        <sz val="10"/>
        <color rgb="FF000000"/>
        <rFont val="Times New Roman"/>
        <family val="1"/>
      </rPr>
      <t xml:space="preserve">  Non-Party Invoicing</t>
    </r>
    <r>
      <rPr>
        <sz val="10"/>
        <color rgb="FF000000"/>
        <rFont val="Times New Roman"/>
        <family val="2"/>
      </rPr>
      <t xml:space="preserve">
</t>
    </r>
    <r>
      <rPr>
        <sz val="15"/>
        <color rgb="FF000000"/>
        <rFont val="Aptos Narrow"/>
        <family val="2"/>
      </rPr>
      <t>□</t>
    </r>
    <r>
      <rPr>
        <sz val="10"/>
        <color rgb="FF000000"/>
        <rFont val="Times New Roman"/>
        <family val="2"/>
      </rPr>
      <t xml:space="preserve">  Certified True Copy</t>
    </r>
  </si>
  <si>
    <r>
      <rPr>
        <b/>
        <sz val="10"/>
        <color rgb="FF000000"/>
        <rFont val="Times New Roman"/>
        <family val="1"/>
      </rPr>
      <t>2. Goods consigned to</t>
    </r>
    <r>
      <rPr>
        <sz val="10"/>
        <color rgb="FF000000"/>
        <rFont val="Times New Roman"/>
        <family val="1"/>
      </rPr>
      <t xml:space="preserve"> (Consignee's name, e-mail address,</t>
    </r>
  </si>
  <si>
    <t>consigned</t>
  </si>
  <si>
    <t>NIKE CANADA CORP</t>
  </si>
  <si>
    <t xml:space="preserve">   Do thực tế hàng hóa của công ty chúng tôi sẽ được mua bán xuất khẩu với công ty ASI GLOBAL LIMITED. Sau đó bên ASI GLOBAL LIMITED sẽ chỉ định giao hàng cho [consigned]. Nhưng bên phía người nhận hàng lại không muốn thể hiện tên công ty ASI GLOBAL LIMITED trên 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</si>
</sst>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164" formatCode="&quot;VUNG TAU, &quot;dd/mm/yyyy"/>
    <numFmt numFmtId="165" formatCode="&quot;DONG NAI, &quot;dd/mm/yyyy"/>
    <numFmt numFmtId="166" formatCode="0.00\ &quot;PIECE&quot;"/>
    <numFmt numFmtId="167" formatCode="#,###.00\ &quot;PIECE&quot;"/>
    <numFmt numFmtId="168" formatCode="0.00\ &quot;KGS&quot;"/>
    <numFmt numFmtId="169" formatCode="&quot;DATE:&quot;\ dd/mm/yyyy"/>
    <numFmt numFmtId="170" formatCode="#,##0&quot; CARTON&quot;"/>
    <numFmt numFmtId="171" formatCode="_(* #,##0_);_(* \(#,##0\);_(* &quot;-&quot;??_);_(@_)"/>
    <numFmt numFmtId="172" formatCode="&quot;DONG NAI,&quot;\ dd/mm/yyyy"/>
    <numFmt numFmtId="173" formatCode="dd/mm/yyyy;@"/>
    <numFmt numFmtId="174" formatCode="&quot;          Hôm nay, ngày &quot;dd&quot; tháng &quot;mm&quot; năm &quot;yyyy&quot; công ty chúng tôi có xuất một lô hàng đi bằng đường biển với chi tiết&quot;"/>
    <numFmt numFmtId="175" formatCode="#,###\ &quot;PCS&quot;"/>
    <numFmt numFmtId="176" formatCode="#,#00.00\ &quot;PIECE&quot;"/>
    <numFmt numFmtId="177" formatCode="#,#00.00\ &quot;PCS&quot;"/>
    <numFmt numFmtId="178" formatCode="&quot;HO CHI MINH CITY,&quot;\ dd/mm/yyyy"/>
    <numFmt numFmtId="179" formatCode="&quot;VUNG TAU,&quot;\ dd/mm/yyyy"/>
    <numFmt numFmtId="180" formatCode="&quot;HO CHOI MINH CITY,&quot;\ dd/mm/yyyy"/>
    <numFmt numFmtId="181" formatCode="&quot;Bà Rịa-Vũng Tàu, ngày&quot;\ dd\ &quot;Tháng&quot;\ mm\ &quot;Năm&quot;\ yyyy"/>
    <numFmt numFmtId="182" formatCode="&quot;   Hôm nay, ngày &quot;dd&quot; tháng &quot;mm&quot; năm &quot;yyyy&quot; công ty chúng tôi có xin C/O cho một lô hàng xuất đi bằng&quot;"/>
    <numFmt numFmtId="183" formatCode="&quot;• Ngày tờ khai: &quot;dd/mm/yyyy"/>
    <numFmt numFmtId="184" formatCode="&quot;   Ngày &quot;dd&quot; tháng &quot;mm&quot; năm &quot;yyyy&quot;, Công ty chúng tôi có xin cấp 01 bộ C/O FORM B đi bằng đường&quot;"/>
    <numFmt numFmtId="185" formatCode="_-* #,##0.00_-;\-* #,##0.00_-;_-* &quot;-&quot;??_-;_-@_-"/>
  </numFmts>
  <fonts count="95">
    <font>
      <sz val="10"/>
      <color rgb="FF000000"/>
      <name val="Times New Roman"/>
      <charset val="204"/>
    </font>
    <font>
      <sz val="11"/>
      <color theme="1"/>
      <name val="Arial"/>
      <family val="2"/>
      <scheme val="minor"/>
    </font>
    <font>
      <b/>
      <sz val="10"/>
      <color rgb="FF1F1D1D"/>
      <name val="Times New Roman"/>
      <family val="1"/>
    </font>
    <font>
      <sz val="10"/>
      <color rgb="FF1F1D1D"/>
      <name val="Times New Roman"/>
      <family val="1"/>
    </font>
    <font>
      <sz val="10"/>
      <color rgb="FF050505"/>
      <name val="Times New Roman"/>
      <family val="1"/>
    </font>
    <font>
      <b/>
      <sz val="10"/>
      <color rgb="FF050505"/>
      <name val="Times New Roman"/>
      <family val="1"/>
    </font>
    <font>
      <sz val="10"/>
      <color rgb="FF000000"/>
      <name val="Times New Roman"/>
      <family val="1"/>
      <charset val="204"/>
    </font>
    <font>
      <sz val="10"/>
      <color rgb="FF000000"/>
      <name val="Times New Roman"/>
      <family val="1"/>
    </font>
    <font>
      <b/>
      <sz val="10"/>
      <color rgb="FF000000"/>
      <name val="Times New Roman"/>
      <family val="1"/>
      <charset val="204"/>
    </font>
    <font>
      <sz val="10"/>
      <color rgb="FF000000"/>
      <name val="Times New Roman"/>
      <family val="2"/>
    </font>
    <font>
      <sz val="9.5"/>
      <color rgb="FF000000"/>
      <name val="Times New Roman"/>
      <family val="1"/>
    </font>
    <font>
      <b/>
      <sz val="10"/>
      <color rgb="FF000000"/>
      <name val="Times New Roman"/>
      <family val="1"/>
    </font>
    <font>
      <sz val="9"/>
      <color theme="1"/>
      <name val="Arial"/>
      <family val="2"/>
      <scheme val="minor"/>
    </font>
    <font>
      <b/>
      <sz val="11"/>
      <name val="Arial"/>
      <family val="2"/>
    </font>
    <font>
      <sz val="8"/>
      <name val="Times New Roman"/>
      <family val="1"/>
    </font>
    <font>
      <sz val="7"/>
      <name val="Arial"/>
      <family val="2"/>
    </font>
    <font>
      <sz val="8.5"/>
      <name val="Times New Roman"/>
      <family val="1"/>
    </font>
    <font>
      <b/>
      <sz val="9"/>
      <name val="Times New Roman"/>
      <family val="1"/>
    </font>
    <font>
      <sz val="7"/>
      <color rgb="FF000000"/>
      <name val="Arial"/>
      <family val="2"/>
      <scheme val="minor"/>
    </font>
    <font>
      <sz val="7"/>
      <color rgb="FF000000"/>
      <name val="Times New Roman"/>
      <family val="1"/>
    </font>
    <font>
      <sz val="8"/>
      <color rgb="FF000000"/>
      <name val="Times New Roman"/>
      <family val="1"/>
    </font>
    <font>
      <sz val="10"/>
      <name val="Times New Roman"/>
      <family val="1"/>
    </font>
    <font>
      <sz val="7"/>
      <name val="Times New Roman"/>
      <family val="1"/>
    </font>
    <font>
      <sz val="13"/>
      <color rgb="FF000000"/>
      <name val="Aptos Narrow"/>
      <family val="2"/>
    </font>
    <font>
      <b/>
      <sz val="11"/>
      <color theme="1"/>
      <name val="Arial"/>
      <family val="2"/>
      <scheme val="minor"/>
    </font>
    <font>
      <sz val="12"/>
      <name val="VNI-Times"/>
    </font>
    <font>
      <b/>
      <sz val="10"/>
      <color indexed="8"/>
      <name val="Arial"/>
      <family val="2"/>
      <scheme val="minor"/>
    </font>
    <font>
      <b/>
      <sz val="11"/>
      <color indexed="8"/>
      <name val="Arial"/>
      <family val="2"/>
      <scheme val="minor"/>
    </font>
    <font>
      <b/>
      <sz val="10.5"/>
      <color indexed="8"/>
      <name val="Arial"/>
      <family val="2"/>
      <scheme val="minor"/>
    </font>
    <font>
      <sz val="10.5"/>
      <color indexed="8"/>
      <name val="Arial"/>
      <family val="2"/>
      <scheme val="minor"/>
    </font>
    <font>
      <b/>
      <sz val="11"/>
      <name val="Arial"/>
      <family val="2"/>
      <scheme val="minor"/>
    </font>
    <font>
      <b/>
      <sz val="10"/>
      <name val="Arial"/>
      <family val="2"/>
      <scheme val="minor"/>
    </font>
    <font>
      <sz val="10"/>
      <name val="Arial"/>
      <family val="2"/>
    </font>
    <font>
      <sz val="10"/>
      <name val="Arial"/>
      <family val="2"/>
      <scheme val="minor"/>
    </font>
    <font>
      <b/>
      <sz val="13"/>
      <name val="Arial"/>
      <family val="2"/>
      <scheme val="minor"/>
    </font>
    <font>
      <b/>
      <sz val="8.5"/>
      <color indexed="8"/>
      <name val="Arial"/>
      <family val="2"/>
      <scheme val="minor"/>
    </font>
    <font>
      <b/>
      <sz val="13"/>
      <color indexed="8"/>
      <name val="Arial"/>
      <family val="2"/>
      <scheme val="minor"/>
    </font>
    <font>
      <b/>
      <sz val="12"/>
      <color indexed="8"/>
      <name val="Arial"/>
      <family val="2"/>
      <scheme val="minor"/>
    </font>
    <font>
      <sz val="10"/>
      <color theme="1"/>
      <name val="Arial"/>
      <family val="2"/>
      <scheme val="minor"/>
    </font>
    <font>
      <b/>
      <sz val="11"/>
      <color indexed="8"/>
      <name val="Calibri"/>
      <family val="2"/>
    </font>
    <font>
      <sz val="10"/>
      <color indexed="8"/>
      <name val="Arial"/>
      <family val="2"/>
      <scheme val="minor"/>
    </font>
    <font>
      <b/>
      <sz val="9"/>
      <color indexed="8"/>
      <name val="Arial"/>
      <family val="2"/>
      <scheme val="minor"/>
    </font>
    <font>
      <b/>
      <sz val="9"/>
      <name val="Arial"/>
      <family val="2"/>
      <scheme val="minor"/>
    </font>
    <font>
      <b/>
      <sz val="10"/>
      <color indexed="8"/>
      <name val="Calibri"/>
      <family val="2"/>
    </font>
    <font>
      <b/>
      <sz val="9"/>
      <color theme="1"/>
      <name val="Arial"/>
      <family val="2"/>
      <scheme val="minor"/>
    </font>
    <font>
      <sz val="9"/>
      <color indexed="8"/>
      <name val="Arial"/>
      <family val="2"/>
      <scheme val="minor"/>
    </font>
    <font>
      <sz val="9"/>
      <name val="Arial"/>
      <family val="2"/>
      <scheme val="minor"/>
    </font>
    <font>
      <sz val="10"/>
      <color indexed="8"/>
      <name val="Calibri"/>
      <family val="1"/>
      <charset val="2"/>
    </font>
    <font>
      <sz val="10"/>
      <color rgb="FF000000"/>
      <name val="Times New Roman"/>
      <family val="1"/>
      <charset val="163"/>
    </font>
    <font>
      <sz val="8.5"/>
      <color rgb="FF000000"/>
      <name val="Arial"/>
      <family val="2"/>
    </font>
    <font>
      <sz val="8.5"/>
      <color rgb="FF0C0C0C"/>
      <name val="Arial"/>
      <family val="2"/>
    </font>
    <font>
      <sz val="8.5"/>
      <color rgb="FF000000"/>
      <name val="Times New Roman"/>
      <family val="1"/>
    </font>
    <font>
      <sz val="8"/>
      <color rgb="FF000000"/>
      <name val="Arial"/>
      <family val="2"/>
    </font>
    <font>
      <b/>
      <sz val="7.5"/>
      <color rgb="FF000000"/>
      <name val="Times New Roman"/>
      <family val="1"/>
    </font>
    <font>
      <b/>
      <sz val="12.5"/>
      <color rgb="FF000000"/>
      <name val="Times New Roman"/>
      <family val="1"/>
    </font>
    <font>
      <sz val="9"/>
      <color rgb="FF000000"/>
      <name val="Arial"/>
      <family val="2"/>
    </font>
    <font>
      <b/>
      <sz val="12"/>
      <color rgb="FF000000"/>
      <name val="Times New Roman"/>
      <family val="1"/>
    </font>
    <font>
      <sz val="8.5"/>
      <name val="Arial"/>
      <family val="2"/>
    </font>
    <font>
      <sz val="10"/>
      <color rgb="FF000000"/>
      <name val="Arial"/>
      <family val="2"/>
    </font>
    <font>
      <sz val="7.5"/>
      <color rgb="FF000000"/>
      <name val="Arial"/>
      <family val="2"/>
      <scheme val="minor"/>
    </font>
    <font>
      <sz val="8"/>
      <name val="Arial"/>
      <family val="2"/>
    </font>
    <font>
      <sz val="8"/>
      <color rgb="FF000000"/>
      <name val="Arial"/>
      <family val="2"/>
      <scheme val="minor"/>
    </font>
    <font>
      <sz val="8"/>
      <name val="Arial"/>
      <family val="2"/>
      <scheme val="minor"/>
    </font>
    <font>
      <sz val="8"/>
      <color rgb="FF0C0C0C"/>
      <name val="Arial"/>
      <family val="2"/>
      <scheme val="minor"/>
    </font>
    <font>
      <sz val="8"/>
      <color rgb="FF242321"/>
      <name val="Arial"/>
      <family val="2"/>
      <scheme val="minor"/>
    </font>
    <font>
      <sz val="7"/>
      <color rgb="FF242321"/>
      <name val="Arial"/>
      <family val="2"/>
    </font>
    <font>
      <sz val="10"/>
      <color rgb="FF000000"/>
      <name val="Arial"/>
      <family val="2"/>
      <scheme val="minor"/>
    </font>
    <font>
      <sz val="7"/>
      <color rgb="FF050505"/>
      <name val="Times New Roman"/>
      <family val="1"/>
    </font>
    <font>
      <sz val="7"/>
      <color rgb="FF000000"/>
      <name val="Arial"/>
      <family val="2"/>
    </font>
    <font>
      <b/>
      <sz val="15"/>
      <color rgb="FF000000"/>
      <name val="Segoe UI"/>
      <family val="2"/>
    </font>
    <font>
      <sz val="10"/>
      <name val="VNI-Times"/>
    </font>
    <font>
      <b/>
      <sz val="14"/>
      <name val="Times New Roman"/>
      <family val="1"/>
    </font>
    <font>
      <sz val="11"/>
      <name val="VNI-Times"/>
    </font>
    <font>
      <b/>
      <u/>
      <sz val="14"/>
      <name val="Times New Roman"/>
      <family val="1"/>
    </font>
    <font>
      <sz val="14"/>
      <name val="Times New Roman"/>
      <family val="1"/>
    </font>
    <font>
      <sz val="14"/>
      <name val="VNI-Times"/>
    </font>
    <font>
      <i/>
      <sz val="14"/>
      <name val="Times New Roman"/>
      <family val="1"/>
    </font>
    <font>
      <b/>
      <sz val="14"/>
      <name val="VNI-Times"/>
    </font>
    <font>
      <sz val="13"/>
      <name val="VNI-Times"/>
    </font>
    <font>
      <b/>
      <sz val="13"/>
      <name val="Times New Roman"/>
      <family val="1"/>
    </font>
    <font>
      <b/>
      <sz val="16"/>
      <name val="Times New Roman"/>
      <family val="1"/>
    </font>
    <font>
      <sz val="15"/>
      <name val="Times New Roman"/>
      <family val="1"/>
    </font>
    <font>
      <sz val="12"/>
      <name val="Times New Roman"/>
      <family val="1"/>
    </font>
    <font>
      <sz val="13"/>
      <name val="Times New Roman"/>
      <family val="1"/>
    </font>
    <font>
      <b/>
      <sz val="15"/>
      <name val="Times New Roman"/>
      <family val="1"/>
    </font>
    <font>
      <sz val="8"/>
      <color rgb="FF1F1D1D"/>
      <name val="Times New Roman"/>
      <family val="1"/>
    </font>
    <font>
      <b/>
      <sz val="8"/>
      <color rgb="FF1F1D1D"/>
      <name val="Times New Roman"/>
      <family val="1"/>
    </font>
    <font>
      <sz val="8"/>
      <color theme="1"/>
      <name val="Times New Roman"/>
      <family val="1"/>
    </font>
    <font>
      <b/>
      <sz val="8"/>
      <color theme="1"/>
      <name val="Times New Roman"/>
      <family val="1"/>
    </font>
    <font>
      <b/>
      <sz val="8"/>
      <color rgb="FF050505"/>
      <name val="Times New Roman"/>
      <family val="1"/>
    </font>
    <font>
      <i/>
      <sz val="10"/>
      <color rgb="FF050505"/>
      <name val="Times New Roman"/>
      <family val="1"/>
    </font>
    <font>
      <b/>
      <sz val="16"/>
      <color rgb="FF050505"/>
      <name val="Times New Roman"/>
      <family val="1"/>
    </font>
    <font>
      <sz val="11.5"/>
      <color rgb="FF1F1D1D"/>
      <name val="Times New Roman"/>
      <family val="1"/>
    </font>
    <font>
      <b/>
      <sz val="14.5"/>
      <color rgb="FF1F1D1D"/>
      <name val="Times New Roman"/>
      <family val="1"/>
    </font>
    <font>
      <sz val="15"/>
      <color rgb="FF000000"/>
      <name val="Aptos Narrow"/>
      <family val="2"/>
    </font>
  </fonts>
  <fills count="3">
    <fill>
      <patternFill patternType="none"/>
    </fill>
    <fill>
      <patternFill patternType="gray125"/>
    </fill>
    <fill>
      <patternFill patternType="solid">
        <fgColor theme="9" tint="0.39997558519241921"/>
        <bgColor indexed="64"/>
      </patternFill>
    </fill>
  </fills>
  <borders count="30">
    <border>
      <left/>
      <right/>
      <top/>
      <bottom/>
      <diagonal/>
    </border>
    <border>
      <left/>
      <right/>
      <top style="thin">
        <color rgb="FF000000"/>
      </top>
      <bottom/>
      <diagonal/>
    </border>
    <border>
      <left/>
      <right/>
      <top/>
      <bottom style="thin">
        <color rgb="FF000000"/>
      </bottom>
      <diagonal/>
    </border>
    <border>
      <left/>
      <right style="thin">
        <color indexed="64"/>
      </right>
      <top/>
      <bottom/>
      <diagonal/>
    </border>
    <border>
      <left/>
      <right style="thin">
        <color indexed="64"/>
      </right>
      <top/>
      <bottom style="thin">
        <color rgb="FF000000"/>
      </bottom>
      <diagonal/>
    </border>
    <border>
      <left/>
      <right/>
      <top style="thin">
        <color indexed="64"/>
      </top>
      <bottom/>
      <diagonal/>
    </border>
    <border>
      <left style="thin">
        <color indexed="64"/>
      </left>
      <right/>
      <top style="thin">
        <color indexed="64"/>
      </top>
      <bottom/>
      <diagonal/>
    </border>
    <border>
      <left style="thin">
        <color indexed="64"/>
      </left>
      <right/>
      <top style="thin">
        <color rgb="FF000000"/>
      </top>
      <bottom/>
      <diagonal/>
    </border>
    <border>
      <left style="thin">
        <color indexed="64"/>
      </left>
      <right/>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rgb="FF000000"/>
      </top>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style="thin">
        <color indexed="64"/>
      </bottom>
      <diagonal/>
    </border>
    <border>
      <left/>
      <right style="thin">
        <color rgb="FF000000"/>
      </right>
      <top/>
      <bottom/>
      <diagonal/>
    </border>
    <border>
      <left style="thin">
        <color rgb="FF000000"/>
      </left>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diagonal/>
    </border>
    <border>
      <left/>
      <right/>
      <top style="thin">
        <color indexed="64"/>
      </top>
      <bottom style="thin">
        <color indexed="64"/>
      </bottom>
      <diagonal/>
    </border>
  </borders>
  <cellStyleXfs count="11">
    <xf numFmtId="0" fontId="0" fillId="0" borderId="0"/>
    <xf numFmtId="0" fontId="1" fillId="0" borderId="0"/>
    <xf numFmtId="0" fontId="7" fillId="0" borderId="0"/>
    <xf numFmtId="0" fontId="1" fillId="0" borderId="0"/>
    <xf numFmtId="0" fontId="25" fillId="0" borderId="0"/>
    <xf numFmtId="0" fontId="32" fillId="0" borderId="0"/>
    <xf numFmtId="185" fontId="32" fillId="0" borderId="0"/>
    <xf numFmtId="0" fontId="48" fillId="0" borderId="0"/>
    <xf numFmtId="0" fontId="70" fillId="0" borderId="0"/>
    <xf numFmtId="0" fontId="32" fillId="0" borderId="0"/>
    <xf numFmtId="0" fontId="32" fillId="0" borderId="0"/>
  </cellStyleXfs>
  <cellXfs count="556">
    <xf numFmtId="0" fontId="0" fillId="0" borderId="0" xfId="0" applyAlignment="1">
      <alignment horizontal="left" vertical="top"/>
    </xf>
    <xf numFmtId="0" fontId="0" fillId="0" borderId="0" xfId="0" applyAlignment="1">
      <alignment horizontal="left" vertical="top" wrapText="1"/>
    </xf>
    <xf numFmtId="0" fontId="7" fillId="0" borderId="0" xfId="0" applyFont="1" applyAlignment="1">
      <alignment horizontal="left" vertical="top"/>
    </xf>
    <xf numFmtId="0" fontId="0" fillId="0" borderId="2" xfId="0" applyBorder="1" applyAlignment="1">
      <alignment horizontal="left" vertical="top"/>
    </xf>
    <xf numFmtId="0" fontId="0" fillId="0" borderId="4" xfId="0" applyBorder="1" applyAlignment="1">
      <alignment horizontal="left" vertical="top"/>
    </xf>
    <xf numFmtId="0" fontId="5" fillId="0" borderId="7" xfId="0" applyFont="1" applyBorder="1" applyAlignment="1">
      <alignment horizontal="left" vertical="top" wrapText="1" indent="1"/>
    </xf>
    <xf numFmtId="0" fontId="0" fillId="0" borderId="8" xfId="0" applyBorder="1" applyAlignment="1">
      <alignment horizontal="left" vertical="top"/>
    </xf>
    <xf numFmtId="0" fontId="0" fillId="0" borderId="10" xfId="0" applyBorder="1" applyAlignment="1">
      <alignment horizontal="left" vertical="top"/>
    </xf>
    <xf numFmtId="0" fontId="0" fillId="0" borderId="11" xfId="0" applyBorder="1" applyAlignment="1">
      <alignment vertical="top"/>
    </xf>
    <xf numFmtId="0" fontId="0" fillId="0" borderId="0" xfId="0" applyAlignment="1">
      <alignment horizontal="right" vertical="top" wrapText="1" indent="5"/>
    </xf>
    <xf numFmtId="0" fontId="6" fillId="0" borderId="5" xfId="0" applyFont="1" applyBorder="1" applyAlignment="1">
      <alignment vertical="top" wrapText="1"/>
    </xf>
    <xf numFmtId="0" fontId="6" fillId="0" borderId="0" xfId="0" applyFont="1" applyAlignment="1">
      <alignment vertical="top" wrapText="1"/>
    </xf>
    <xf numFmtId="0" fontId="6" fillId="0" borderId="0" xfId="0" applyFont="1" applyAlignment="1">
      <alignment horizontal="left" vertical="top" wrapText="1" indent="1"/>
    </xf>
    <xf numFmtId="0" fontId="0" fillId="0" borderId="0" xfId="0" applyAlignment="1">
      <alignment vertical="top"/>
    </xf>
    <xf numFmtId="0" fontId="6" fillId="0" borderId="8" xfId="0" applyFont="1" applyBorder="1" applyAlignment="1">
      <alignment horizontal="left" indent="1"/>
    </xf>
    <xf numFmtId="0" fontId="6" fillId="0" borderId="0" xfId="0" applyFont="1" applyAlignment="1">
      <alignment horizontal="left" indent="1"/>
    </xf>
    <xf numFmtId="0" fontId="6" fillId="0" borderId="0" xfId="0" applyFont="1" applyAlignment="1">
      <alignment wrapText="1"/>
    </xf>
    <xf numFmtId="0" fontId="0" fillId="0" borderId="6" xfId="0" applyBorder="1" applyAlignment="1">
      <alignment horizontal="left" vertical="top"/>
    </xf>
    <xf numFmtId="0" fontId="0" fillId="0" borderId="0" xfId="0" applyAlignment="1">
      <alignment vertical="top" wrapText="1"/>
    </xf>
    <xf numFmtId="0" fontId="0" fillId="0" borderId="0" xfId="0" applyAlignment="1">
      <alignment horizontal="left" vertical="top" wrapText="1" indent="1"/>
    </xf>
    <xf numFmtId="0" fontId="3" fillId="0" borderId="0" xfId="0" applyFont="1" applyAlignment="1">
      <alignment horizontal="left" vertical="top" wrapText="1" indent="1"/>
    </xf>
    <xf numFmtId="0" fontId="0" fillId="0" borderId="3" xfId="0" applyBorder="1" applyAlignment="1">
      <alignment horizontal="left" vertical="top" wrapText="1" indent="1"/>
    </xf>
    <xf numFmtId="0" fontId="5" fillId="0" borderId="8" xfId="0" applyFont="1" applyBorder="1" applyAlignment="1">
      <alignment horizontal="left" vertical="top" wrapText="1" indent="1"/>
    </xf>
    <xf numFmtId="0" fontId="0" fillId="0" borderId="3" xfId="0" applyBorder="1" applyAlignment="1">
      <alignment horizontal="left" vertical="top"/>
    </xf>
    <xf numFmtId="0" fontId="0" fillId="0" borderId="11" xfId="0" applyBorder="1" applyAlignment="1">
      <alignment horizontal="left" vertical="top"/>
    </xf>
    <xf numFmtId="0" fontId="0" fillId="0" borderId="12" xfId="0" applyBorder="1" applyAlignment="1">
      <alignment horizontal="left" vertical="top"/>
    </xf>
    <xf numFmtId="0" fontId="0" fillId="0" borderId="6" xfId="0" applyBorder="1" applyAlignment="1">
      <alignment vertical="top" wrapText="1"/>
    </xf>
    <xf numFmtId="0" fontId="0" fillId="0" borderId="8" xfId="0" applyBorder="1" applyAlignment="1">
      <alignment vertical="top" wrapText="1"/>
    </xf>
    <xf numFmtId="0" fontId="3" fillId="0" borderId="5" xfId="0" applyFont="1" applyBorder="1" applyAlignment="1">
      <alignment vertical="top" wrapText="1"/>
    </xf>
    <xf numFmtId="0" fontId="0" fillId="0" borderId="8" xfId="0" applyBorder="1" applyAlignment="1">
      <alignment horizontal="left" vertical="top" wrapText="1" indent="1"/>
    </xf>
    <xf numFmtId="0" fontId="0" fillId="0" borderId="9" xfId="0" applyBorder="1" applyAlignment="1">
      <alignment horizontal="left" vertical="top" wrapText="1"/>
    </xf>
    <xf numFmtId="0" fontId="0" fillId="0" borderId="3" xfId="0" applyBorder="1" applyAlignment="1">
      <alignment horizontal="left" vertical="top" wrapText="1"/>
    </xf>
    <xf numFmtId="0" fontId="7" fillId="0" borderId="0" xfId="0" applyFont="1" applyAlignment="1">
      <alignment horizontal="left" vertical="top" wrapText="1"/>
    </xf>
    <xf numFmtId="0" fontId="4" fillId="0" borderId="0" xfId="0" applyFont="1" applyAlignment="1">
      <alignment horizontal="right" vertical="top" wrapText="1" indent="5"/>
    </xf>
    <xf numFmtId="0" fontId="5" fillId="0" borderId="10" xfId="0" applyFont="1" applyBorder="1" applyAlignment="1">
      <alignment horizontal="left" vertical="top" wrapText="1" indent="1"/>
    </xf>
    <xf numFmtId="0" fontId="6" fillId="0" borderId="8" xfId="0" applyFont="1" applyBorder="1"/>
    <xf numFmtId="0" fontId="6" fillId="0" borderId="0" xfId="0" applyFont="1"/>
    <xf numFmtId="0" fontId="11" fillId="0" borderId="9" xfId="0" applyFont="1" applyBorder="1" applyAlignment="1">
      <alignment vertical="top" wrapText="1"/>
    </xf>
    <xf numFmtId="0" fontId="11" fillId="0" borderId="3" xfId="0" applyFont="1" applyBorder="1" applyAlignment="1">
      <alignment vertical="top" wrapText="1"/>
    </xf>
    <xf numFmtId="0" fontId="7" fillId="0" borderId="3" xfId="0" applyFont="1" applyBorder="1" applyAlignment="1">
      <alignment vertical="top" wrapText="1"/>
    </xf>
    <xf numFmtId="0" fontId="6" fillId="0" borderId="5" xfId="0" applyFont="1" applyBorder="1" applyAlignment="1">
      <alignment wrapText="1"/>
    </xf>
    <xf numFmtId="0" fontId="10" fillId="0" borderId="0" xfId="0" applyFont="1" applyAlignment="1">
      <alignment vertical="top" wrapText="1"/>
    </xf>
    <xf numFmtId="0" fontId="10" fillId="0" borderId="8" xfId="0" applyFont="1" applyBorder="1" applyAlignment="1">
      <alignment vertical="top" wrapText="1"/>
    </xf>
    <xf numFmtId="0" fontId="6" fillId="0" borderId="8" xfId="0" applyFont="1" applyBorder="1" applyAlignment="1">
      <alignment vertical="top" wrapText="1"/>
    </xf>
    <xf numFmtId="0" fontId="6" fillId="0" borderId="8" xfId="0" applyFont="1" applyBorder="1" applyAlignment="1">
      <alignment horizontal="left" vertical="top" wrapText="1" indent="1"/>
    </xf>
    <xf numFmtId="0" fontId="0" fillId="0" borderId="8" xfId="0" applyBorder="1" applyAlignment="1">
      <alignment vertical="top"/>
    </xf>
    <xf numFmtId="0" fontId="3" fillId="0" borderId="10" xfId="0" applyFont="1" applyBorder="1" applyAlignment="1">
      <alignment horizontal="left" vertical="top" wrapText="1" indent="1"/>
    </xf>
    <xf numFmtId="0" fontId="0" fillId="0" borderId="12" xfId="0" applyBorder="1" applyAlignment="1">
      <alignment vertical="top" wrapText="1"/>
    </xf>
    <xf numFmtId="0" fontId="0" fillId="0" borderId="9" xfId="0" applyBorder="1" applyAlignment="1">
      <alignment horizontal="left" vertical="top"/>
    </xf>
    <xf numFmtId="0" fontId="0" fillId="0" borderId="3" xfId="0" applyBorder="1" applyAlignment="1">
      <alignment vertical="justify" wrapText="1"/>
    </xf>
    <xf numFmtId="0" fontId="7" fillId="0" borderId="11" xfId="0" applyFont="1" applyBorder="1" applyAlignment="1">
      <alignment horizontal="left" vertical="top" wrapText="1" indent="1"/>
    </xf>
    <xf numFmtId="0" fontId="5" fillId="0" borderId="11" xfId="0" applyFont="1" applyBorder="1" applyAlignment="1">
      <alignment horizontal="left" vertical="top" wrapText="1" indent="1"/>
    </xf>
    <xf numFmtId="0" fontId="11" fillId="0" borderId="13" xfId="0" applyFont="1" applyBorder="1" applyAlignment="1">
      <alignment vertical="top" wrapText="1"/>
    </xf>
    <xf numFmtId="0" fontId="11" fillId="0" borderId="0" xfId="0" applyFont="1" applyAlignment="1">
      <alignment vertical="top" wrapText="1"/>
    </xf>
    <xf numFmtId="0" fontId="5" fillId="0" borderId="0" xfId="0" applyFont="1" applyAlignment="1">
      <alignment vertical="top" wrapText="1"/>
    </xf>
    <xf numFmtId="0" fontId="0" fillId="0" borderId="0" xfId="0" applyAlignment="1">
      <alignment horizontal="centerContinuous" vertical="center"/>
    </xf>
    <xf numFmtId="0" fontId="7" fillId="0" borderId="7" xfId="0" applyFont="1" applyBorder="1" applyAlignment="1">
      <alignment horizontal="left" vertical="top"/>
    </xf>
    <xf numFmtId="0" fontId="7" fillId="0" borderId="8" xfId="0" applyFont="1" applyBorder="1" applyAlignment="1">
      <alignment horizontal="left" vertical="top"/>
    </xf>
    <xf numFmtId="0" fontId="5" fillId="0" borderId="5" xfId="0" applyFont="1" applyBorder="1" applyAlignment="1">
      <alignment horizontal="distributed" vertical="top" wrapText="1"/>
    </xf>
    <xf numFmtId="0" fontId="5" fillId="0" borderId="1" xfId="0" applyFont="1" applyBorder="1" applyAlignment="1">
      <alignment horizontal="distributed" vertical="top" wrapText="1"/>
    </xf>
    <xf numFmtId="0" fontId="10" fillId="0" borderId="6" xfId="0" applyFont="1" applyBorder="1" applyAlignment="1">
      <alignment vertical="top" wrapText="1"/>
    </xf>
    <xf numFmtId="0" fontId="9" fillId="0" borderId="3" xfId="0" applyFont="1" applyBorder="1" applyAlignment="1">
      <alignment vertical="center" wrapText="1"/>
    </xf>
    <xf numFmtId="0" fontId="6" fillId="0" borderId="0" xfId="0" applyFont="1" applyAlignment="1">
      <alignment horizontal="left" vertical="center" wrapText="1"/>
    </xf>
    <xf numFmtId="0" fontId="7" fillId="0" borderId="5" xfId="0" applyFont="1" applyBorder="1" applyAlignment="1">
      <alignment vertical="justify" wrapText="1"/>
    </xf>
    <xf numFmtId="0" fontId="0" fillId="0" borderId="5" xfId="0" applyBorder="1" applyAlignment="1">
      <alignment horizontal="left" vertical="top"/>
    </xf>
    <xf numFmtId="0" fontId="0" fillId="0" borderId="9" xfId="0" applyBorder="1" applyAlignment="1">
      <alignment vertical="justify" wrapText="1"/>
    </xf>
    <xf numFmtId="0" fontId="0" fillId="0" borderId="10" xfId="0" applyBorder="1" applyAlignment="1">
      <alignment vertical="top"/>
    </xf>
    <xf numFmtId="0" fontId="0" fillId="0" borderId="12" xfId="0" applyBorder="1" applyAlignment="1">
      <alignment vertical="justify" wrapText="1"/>
    </xf>
    <xf numFmtId="0" fontId="2" fillId="0" borderId="0" xfId="0" applyFont="1" applyAlignment="1">
      <alignment vertical="top" wrapText="1"/>
    </xf>
    <xf numFmtId="0" fontId="7" fillId="0" borderId="8" xfId="0" applyFont="1" applyBorder="1" applyAlignment="1">
      <alignment vertical="top" wrapText="1"/>
    </xf>
    <xf numFmtId="0" fontId="7" fillId="0" borderId="10" xfId="0" applyFont="1" applyBorder="1" applyAlignment="1">
      <alignment horizontal="left" vertical="top" wrapText="1" indent="1"/>
    </xf>
    <xf numFmtId="0" fontId="7" fillId="0" borderId="6" xfId="0" applyFont="1" applyBorder="1" applyAlignment="1">
      <alignment vertical="top" wrapText="1"/>
    </xf>
    <xf numFmtId="0" fontId="2" fillId="0" borderId="5" xfId="0" applyFont="1" applyBorder="1" applyAlignment="1">
      <alignment horizontal="distributed" vertical="top" wrapText="1"/>
    </xf>
    <xf numFmtId="0" fontId="2" fillId="0" borderId="11" xfId="0" applyFont="1" applyBorder="1" applyAlignment="1">
      <alignment horizontal="left" vertical="top" wrapText="1" indent="1"/>
    </xf>
    <xf numFmtId="0" fontId="11" fillId="0" borderId="0" xfId="0" applyFont="1" applyAlignment="1">
      <alignment vertical="top"/>
    </xf>
    <xf numFmtId="0" fontId="0" fillId="0" borderId="8" xfId="0" applyBorder="1" applyAlignment="1">
      <alignment vertical="center" wrapText="1"/>
    </xf>
    <xf numFmtId="0" fontId="12" fillId="0" borderId="0" xfId="1" applyFont="1"/>
    <xf numFmtId="0" fontId="13" fillId="0" borderId="14" xfId="0" applyFont="1" applyBorder="1" applyAlignment="1">
      <alignment horizontal="center" vertical="top"/>
    </xf>
    <xf numFmtId="0" fontId="0" fillId="0" borderId="0" xfId="0"/>
    <xf numFmtId="0" fontId="7" fillId="0" borderId="0" xfId="2" applyAlignment="1">
      <alignment horizontal="left" vertical="top"/>
    </xf>
    <xf numFmtId="0" fontId="7" fillId="0" borderId="6" xfId="2" applyBorder="1" applyAlignment="1">
      <alignment horizontal="left" vertical="top"/>
    </xf>
    <xf numFmtId="0" fontId="15" fillId="0" borderId="5" xfId="2" applyFont="1" applyBorder="1" applyAlignment="1">
      <alignment horizontal="left" wrapText="1"/>
    </xf>
    <xf numFmtId="0" fontId="16" fillId="0" borderId="5" xfId="2" applyFont="1" applyBorder="1" applyAlignment="1">
      <alignment horizontal="left" wrapText="1"/>
    </xf>
    <xf numFmtId="0" fontId="16" fillId="0" borderId="5" xfId="2" applyFont="1" applyBorder="1" applyAlignment="1">
      <alignment wrapText="1"/>
    </xf>
    <xf numFmtId="0" fontId="16" fillId="0" borderId="9" xfId="2" applyFont="1" applyBorder="1" applyAlignment="1">
      <alignment wrapText="1"/>
    </xf>
    <xf numFmtId="0" fontId="7" fillId="0" borderId="0" xfId="2" applyAlignment="1">
      <alignment horizontal="left" vertical="top" wrapText="1"/>
    </xf>
    <xf numFmtId="0" fontId="7" fillId="0" borderId="8" xfId="2" applyBorder="1" applyAlignment="1">
      <alignment horizontal="left" vertical="top"/>
    </xf>
    <xf numFmtId="0" fontId="15" fillId="0" borderId="0" xfId="2" applyFont="1" applyAlignment="1">
      <alignment horizontal="left" wrapText="1"/>
    </xf>
    <xf numFmtId="0" fontId="15" fillId="0" borderId="3" xfId="2" applyFont="1" applyBorder="1" applyAlignment="1">
      <alignment horizontal="left" wrapText="1"/>
    </xf>
    <xf numFmtId="0" fontId="16" fillId="0" borderId="0" xfId="2" applyFont="1" applyAlignment="1">
      <alignment vertical="top" wrapText="1"/>
    </xf>
    <xf numFmtId="0" fontId="16" fillId="0" borderId="3" xfId="2" applyFont="1" applyBorder="1" applyAlignment="1">
      <alignment vertical="top" wrapText="1"/>
    </xf>
    <xf numFmtId="0" fontId="15" fillId="0" borderId="0" xfId="2" applyFont="1" applyAlignment="1">
      <alignment vertical="top" wrapText="1"/>
    </xf>
    <xf numFmtId="0" fontId="15" fillId="0" borderId="16" xfId="2" applyFont="1" applyBorder="1" applyAlignment="1">
      <alignment vertical="top" wrapText="1"/>
    </xf>
    <xf numFmtId="0" fontId="15" fillId="0" borderId="17" xfId="2" applyFont="1" applyBorder="1" applyAlignment="1">
      <alignment horizontal="center" vertical="top" wrapText="1"/>
    </xf>
    <xf numFmtId="0" fontId="15" fillId="0" borderId="0" xfId="2" applyFont="1" applyAlignment="1">
      <alignment horizontal="center" vertical="top" wrapText="1"/>
    </xf>
    <xf numFmtId="0" fontId="17" fillId="0" borderId="0" xfId="2" applyFont="1" applyAlignment="1">
      <alignment vertical="top" wrapText="1"/>
    </xf>
    <xf numFmtId="0" fontId="17" fillId="0" borderId="3" xfId="2" applyFont="1" applyBorder="1" applyAlignment="1">
      <alignment vertical="top" wrapText="1"/>
    </xf>
    <xf numFmtId="0" fontId="7" fillId="0" borderId="0" xfId="2" applyAlignment="1">
      <alignment vertical="top" wrapText="1"/>
    </xf>
    <xf numFmtId="0" fontId="15" fillId="0" borderId="16" xfId="2" applyFont="1" applyBorder="1" applyAlignment="1">
      <alignment horizontal="center" vertical="top" wrapText="1"/>
    </xf>
    <xf numFmtId="0" fontId="15" fillId="0" borderId="0" xfId="2" applyFont="1" applyAlignment="1">
      <alignment horizontal="left" vertical="top" wrapText="1"/>
    </xf>
    <xf numFmtId="0" fontId="15" fillId="0" borderId="3" xfId="2" applyFont="1" applyBorder="1" applyAlignment="1">
      <alignment horizontal="left" vertical="top" wrapText="1"/>
    </xf>
    <xf numFmtId="0" fontId="15" fillId="0" borderId="11" xfId="2" applyFont="1" applyBorder="1" applyAlignment="1">
      <alignment horizontal="left" vertical="top" wrapText="1"/>
    </xf>
    <xf numFmtId="0" fontId="15" fillId="0" borderId="12" xfId="2" applyFont="1" applyBorder="1" applyAlignment="1">
      <alignment horizontal="left" vertical="top" wrapText="1"/>
    </xf>
    <xf numFmtId="0" fontId="15" fillId="0" borderId="2" xfId="2" applyFont="1" applyBorder="1" applyAlignment="1">
      <alignment horizontal="left" vertical="top" wrapText="1"/>
    </xf>
    <xf numFmtId="0" fontId="7" fillId="0" borderId="3" xfId="2" applyBorder="1" applyAlignment="1">
      <alignment vertical="top" wrapText="1"/>
    </xf>
    <xf numFmtId="0" fontId="15" fillId="0" borderId="7" xfId="2" applyFont="1" applyBorder="1" applyAlignment="1">
      <alignment horizontal="left" vertical="top" wrapText="1"/>
    </xf>
    <xf numFmtId="0" fontId="7" fillId="0" borderId="0" xfId="2" applyAlignment="1">
      <alignment horizontal="left" wrapText="1"/>
    </xf>
    <xf numFmtId="0" fontId="15" fillId="0" borderId="8" xfId="2" applyFont="1" applyBorder="1" applyAlignment="1">
      <alignment horizontal="left" vertical="top" wrapText="1"/>
    </xf>
    <xf numFmtId="0" fontId="19" fillId="0" borderId="0" xfId="2" applyFont="1" applyAlignment="1">
      <alignment horizontal="left" wrapText="1"/>
    </xf>
    <xf numFmtId="14" fontId="20" fillId="0" borderId="0" xfId="2" applyNumberFormat="1" applyFont="1" applyAlignment="1">
      <alignment horizontal="left" vertical="top" wrapText="1"/>
    </xf>
    <xf numFmtId="0" fontId="15" fillId="0" borderId="0" xfId="2" applyFont="1" applyAlignment="1">
      <alignment horizontal="left" vertical="center"/>
    </xf>
    <xf numFmtId="0" fontId="19" fillId="0" borderId="0" xfId="2" applyFont="1" applyAlignment="1">
      <alignment horizontal="left" vertical="top" wrapText="1"/>
    </xf>
    <xf numFmtId="0" fontId="19" fillId="0" borderId="0" xfId="2" applyFont="1" applyAlignment="1">
      <alignment horizontal="left"/>
    </xf>
    <xf numFmtId="0" fontId="7" fillId="0" borderId="8" xfId="2" applyBorder="1" applyAlignment="1">
      <alignment horizontal="left" vertical="top" wrapText="1"/>
    </xf>
    <xf numFmtId="0" fontId="15" fillId="0" borderId="0" xfId="2" applyFont="1" applyAlignment="1">
      <alignment vertical="top"/>
    </xf>
    <xf numFmtId="0" fontId="15" fillId="0" borderId="3" xfId="2" applyFont="1" applyBorder="1" applyAlignment="1">
      <alignment vertical="top"/>
    </xf>
    <xf numFmtId="0" fontId="18" fillId="0" borderId="0" xfId="2" applyFont="1" applyAlignment="1">
      <alignment horizontal="left" vertical="center"/>
    </xf>
    <xf numFmtId="0" fontId="7" fillId="0" borderId="0" xfId="2" applyAlignment="1">
      <alignment horizontal="center" vertical="top"/>
    </xf>
    <xf numFmtId="0" fontId="7" fillId="0" borderId="3" xfId="2" applyBorder="1" applyAlignment="1">
      <alignment horizontal="center" vertical="top"/>
    </xf>
    <xf numFmtId="0" fontId="7" fillId="0" borderId="9" xfId="2" applyBorder="1" applyAlignment="1">
      <alignment horizontal="left" vertical="top" wrapText="1"/>
    </xf>
    <xf numFmtId="0" fontId="7" fillId="0" borderId="5" xfId="2" applyBorder="1" applyAlignment="1">
      <alignment horizontal="left" vertical="top" wrapText="1"/>
    </xf>
    <xf numFmtId="0" fontId="7" fillId="0" borderId="6" xfId="2" applyBorder="1" applyAlignment="1">
      <alignment horizontal="left" vertical="top" wrapText="1"/>
    </xf>
    <xf numFmtId="0" fontId="18" fillId="0" borderId="5" xfId="2" applyFont="1" applyBorder="1" applyAlignment="1">
      <alignment horizontal="left" vertical="center"/>
    </xf>
    <xf numFmtId="0" fontId="7" fillId="0" borderId="5" xfId="2" applyBorder="1" applyAlignment="1">
      <alignment horizontal="center" vertical="top"/>
    </xf>
    <xf numFmtId="0" fontId="7" fillId="0" borderId="6" xfId="2" applyBorder="1" applyAlignment="1">
      <alignment horizontal="center" vertical="top"/>
    </xf>
    <xf numFmtId="0" fontId="7" fillId="0" borderId="9" xfId="2" applyBorder="1" applyAlignment="1">
      <alignment horizontal="center" vertical="top"/>
    </xf>
    <xf numFmtId="0" fontId="7" fillId="0" borderId="10" xfId="2" applyBorder="1" applyAlignment="1">
      <alignment horizontal="left" vertical="top"/>
    </xf>
    <xf numFmtId="0" fontId="15" fillId="0" borderId="10" xfId="2" applyFont="1" applyBorder="1" applyAlignment="1">
      <alignment horizontal="left" vertical="top" wrapText="1"/>
    </xf>
    <xf numFmtId="0" fontId="15" fillId="0" borderId="11" xfId="2" applyFont="1" applyBorder="1" applyAlignment="1">
      <alignment vertical="top" wrapText="1"/>
    </xf>
    <xf numFmtId="0" fontId="7" fillId="0" borderId="11" xfId="2" applyBorder="1" applyAlignment="1">
      <alignment horizontal="left" vertical="top" wrapText="1"/>
    </xf>
    <xf numFmtId="0" fontId="7" fillId="0" borderId="10" xfId="2" applyBorder="1" applyAlignment="1">
      <alignment horizontal="left" vertical="top" wrapText="1"/>
    </xf>
    <xf numFmtId="0" fontId="15" fillId="0" borderId="0" xfId="2" applyFont="1" applyAlignment="1">
      <alignment horizontal="center" wrapText="1"/>
    </xf>
    <xf numFmtId="0" fontId="7" fillId="0" borderId="3" xfId="2" applyBorder="1" applyAlignment="1">
      <alignment horizontal="left" vertical="top" wrapText="1"/>
    </xf>
    <xf numFmtId="0" fontId="15" fillId="0" borderId="8" xfId="2" applyFont="1" applyBorder="1" applyAlignment="1">
      <alignment horizontal="left" wrapText="1"/>
    </xf>
    <xf numFmtId="0" fontId="7" fillId="0" borderId="3" xfId="2" applyBorder="1" applyAlignment="1">
      <alignment horizontal="left" wrapText="1"/>
    </xf>
    <xf numFmtId="0" fontId="7" fillId="0" borderId="12" xfId="2" applyBorder="1" applyAlignment="1">
      <alignment horizontal="left" vertical="top" wrapText="1"/>
    </xf>
    <xf numFmtId="0" fontId="7" fillId="0" borderId="11" xfId="2" applyBorder="1" applyAlignment="1">
      <alignment vertical="top" wrapText="1"/>
    </xf>
    <xf numFmtId="0" fontId="18" fillId="0" borderId="0" xfId="2" applyFont="1" applyAlignment="1">
      <alignment horizontal="left"/>
    </xf>
    <xf numFmtId="0" fontId="7" fillId="0" borderId="9" xfId="2" applyBorder="1" applyAlignment="1">
      <alignment vertical="top" wrapText="1"/>
    </xf>
    <xf numFmtId="0" fontId="18" fillId="0" borderId="5" xfId="2" applyFont="1" applyBorder="1" applyAlignment="1">
      <alignment horizontal="left"/>
    </xf>
    <xf numFmtId="0" fontId="7" fillId="0" borderId="5" xfId="2" applyBorder="1" applyAlignment="1">
      <alignment vertical="top" wrapText="1"/>
    </xf>
    <xf numFmtId="0" fontId="18" fillId="0" borderId="3" xfId="2" applyFont="1" applyBorder="1" applyAlignment="1">
      <alignment vertical="justify" wrapText="1"/>
    </xf>
    <xf numFmtId="0" fontId="18" fillId="0" borderId="0" xfId="2" applyFont="1" applyAlignment="1">
      <alignment vertical="justify" wrapText="1"/>
    </xf>
    <xf numFmtId="0" fontId="18" fillId="0" borderId="0" xfId="2" applyFont="1" applyAlignment="1">
      <alignment horizontal="centerContinuous"/>
    </xf>
    <xf numFmtId="0" fontId="7" fillId="0" borderId="0" xfId="2" applyAlignment="1">
      <alignment horizontal="centerContinuous" vertical="top" wrapText="1"/>
    </xf>
    <xf numFmtId="0" fontId="7" fillId="0" borderId="3" xfId="2" applyBorder="1" applyAlignment="1">
      <alignment horizontal="centerContinuous" vertical="top" wrapText="1"/>
    </xf>
    <xf numFmtId="0" fontId="21" fillId="0" borderId="0" xfId="2" applyFont="1" applyAlignment="1">
      <alignment vertical="top" wrapText="1"/>
    </xf>
    <xf numFmtId="164" fontId="18" fillId="0" borderId="0" xfId="2" applyNumberFormat="1" applyFont="1" applyAlignment="1">
      <alignment horizontal="centerContinuous"/>
    </xf>
    <xf numFmtId="165" fontId="18" fillId="0" borderId="0" xfId="2" applyNumberFormat="1" applyFont="1" applyAlignment="1">
      <alignment horizontal="centerContinuous" vertical="top"/>
    </xf>
    <xf numFmtId="49" fontId="22" fillId="0" borderId="5" xfId="2" applyNumberFormat="1" applyFont="1" applyBorder="1" applyAlignment="1">
      <alignment horizontal="left" wrapText="1"/>
    </xf>
    <xf numFmtId="0" fontId="22" fillId="0" borderId="5" xfId="2" applyFont="1" applyBorder="1" applyAlignment="1">
      <alignment wrapText="1"/>
    </xf>
    <xf numFmtId="0" fontId="7" fillId="0" borderId="8" xfId="2" applyBorder="1" applyAlignment="1">
      <alignment vertical="top" wrapText="1"/>
    </xf>
    <xf numFmtId="0" fontId="7" fillId="0" borderId="11" xfId="2" applyBorder="1" applyAlignment="1">
      <alignment horizontal="left" vertical="top"/>
    </xf>
    <xf numFmtId="0" fontId="7" fillId="0" borderId="10" xfId="2" applyBorder="1" applyAlignment="1">
      <alignment vertical="top" wrapText="1"/>
    </xf>
    <xf numFmtId="0" fontId="22" fillId="0" borderId="0" xfId="2" applyFont="1" applyAlignment="1">
      <alignment vertical="top" wrapText="1"/>
    </xf>
    <xf numFmtId="0" fontId="22" fillId="0" borderId="0" xfId="2" applyFont="1" applyAlignment="1">
      <alignment horizontal="center" vertical="top" wrapText="1"/>
    </xf>
    <xf numFmtId="0" fontId="26" fillId="0" borderId="0" xfId="4" applyFont="1"/>
    <xf numFmtId="0" fontId="27" fillId="0" borderId="6" xfId="4" applyFont="1" applyBorder="1"/>
    <xf numFmtId="0" fontId="26" fillId="0" borderId="5" xfId="4" applyFont="1" applyBorder="1"/>
    <xf numFmtId="0" fontId="28" fillId="0" borderId="6" xfId="4" applyFont="1" applyBorder="1" applyAlignment="1">
      <alignment vertical="center"/>
    </xf>
    <xf numFmtId="0" fontId="29" fillId="0" borderId="9" xfId="4" applyFont="1" applyBorder="1" applyAlignment="1">
      <alignment vertical="center"/>
    </xf>
    <xf numFmtId="0" fontId="30" fillId="0" borderId="9" xfId="4" applyFont="1" applyBorder="1" applyAlignment="1">
      <alignment horizontal="center" vertical="center"/>
    </xf>
    <xf numFmtId="0" fontId="33" fillId="0" borderId="8" xfId="5" applyFont="1" applyBorder="1"/>
    <xf numFmtId="0" fontId="35" fillId="0" borderId="0" xfId="4" applyFont="1"/>
    <xf numFmtId="0" fontId="26" fillId="0" borderId="10" xfId="4" applyFont="1" applyBorder="1"/>
    <xf numFmtId="0" fontId="26" fillId="0" borderId="11" xfId="4" applyFont="1" applyBorder="1"/>
    <xf numFmtId="0" fontId="24" fillId="0" borderId="6" xfId="5" applyFont="1" applyBorder="1"/>
    <xf numFmtId="0" fontId="24" fillId="0" borderId="5" xfId="5" applyFont="1" applyBorder="1"/>
    <xf numFmtId="0" fontId="24" fillId="0" borderId="9" xfId="5" applyFont="1" applyBorder="1"/>
    <xf numFmtId="0" fontId="26" fillId="0" borderId="0" xfId="4" applyFont="1" applyAlignment="1">
      <alignment vertical="center"/>
    </xf>
    <xf numFmtId="0" fontId="24" fillId="0" borderId="8" xfId="5" applyFont="1" applyBorder="1" applyAlignment="1">
      <alignment horizontal="left"/>
    </xf>
    <xf numFmtId="0" fontId="31" fillId="0" borderId="8" xfId="5" applyFont="1" applyBorder="1" applyAlignment="1">
      <alignment horizontal="left"/>
    </xf>
    <xf numFmtId="0" fontId="38" fillId="0" borderId="8" xfId="5" applyFont="1" applyBorder="1" applyAlignment="1">
      <alignment horizontal="left"/>
    </xf>
    <xf numFmtId="0" fontId="27" fillId="0" borderId="8" xfId="4" applyFont="1" applyBorder="1" applyAlignment="1">
      <alignment vertical="center"/>
    </xf>
    <xf numFmtId="0" fontId="40" fillId="0" borderId="0" xfId="4" applyFont="1" applyAlignment="1">
      <alignment horizontal="left" vertical="center" indent="8"/>
    </xf>
    <xf numFmtId="0" fontId="27" fillId="0" borderId="3" xfId="4" applyFont="1" applyBorder="1" applyAlignment="1">
      <alignment horizontal="left" vertical="center"/>
    </xf>
    <xf numFmtId="0" fontId="40" fillId="0" borderId="0" xfId="4" applyFont="1" applyAlignment="1">
      <alignment horizontal="left" vertical="center" indent="6"/>
    </xf>
    <xf numFmtId="0" fontId="35" fillId="0" borderId="10" xfId="4" applyFont="1" applyBorder="1"/>
    <xf numFmtId="0" fontId="41" fillId="0" borderId="11" xfId="4" applyFont="1" applyBorder="1" applyAlignment="1">
      <alignment vertical="center"/>
    </xf>
    <xf numFmtId="0" fontId="26" fillId="0" borderId="11" xfId="4" applyFont="1" applyBorder="1" applyAlignment="1">
      <alignment vertical="center"/>
    </xf>
    <xf numFmtId="0" fontId="26" fillId="0" borderId="10" xfId="4" applyFont="1" applyBorder="1" applyAlignment="1">
      <alignment vertical="center"/>
    </xf>
    <xf numFmtId="0" fontId="26" fillId="0" borderId="12" xfId="4" applyFont="1" applyBorder="1" applyAlignment="1">
      <alignment horizontal="left" vertical="center"/>
    </xf>
    <xf numFmtId="0" fontId="27" fillId="0" borderId="6" xfId="4" applyFont="1" applyBorder="1" applyAlignment="1">
      <alignment horizontal="left" vertical="center"/>
    </xf>
    <xf numFmtId="0" fontId="26" fillId="0" borderId="9" xfId="4" applyFont="1" applyBorder="1"/>
    <xf numFmtId="0" fontId="26" fillId="0" borderId="9" xfId="4" applyFont="1" applyBorder="1" applyAlignment="1">
      <alignment horizontal="left"/>
    </xf>
    <xf numFmtId="0" fontId="26" fillId="0" borderId="8" xfId="4" applyFont="1" applyBorder="1"/>
    <xf numFmtId="0" fontId="41" fillId="0" borderId="0" xfId="4" applyFont="1"/>
    <xf numFmtId="14" fontId="42" fillId="0" borderId="3" xfId="4" applyNumberFormat="1" applyFont="1" applyBorder="1" applyAlignment="1">
      <alignment horizontal="left"/>
    </xf>
    <xf numFmtId="14" fontId="40" fillId="0" borderId="0" xfId="4" applyNumberFormat="1" applyFont="1" applyAlignment="1">
      <alignment horizontal="left"/>
    </xf>
    <xf numFmtId="0" fontId="42" fillId="0" borderId="3" xfId="4" applyFont="1" applyBorder="1"/>
    <xf numFmtId="0" fontId="44" fillId="0" borderId="0" xfId="4" applyFont="1"/>
    <xf numFmtId="0" fontId="38" fillId="0" borderId="0" xfId="4" applyFont="1"/>
    <xf numFmtId="0" fontId="41" fillId="0" borderId="3" xfId="4" applyFont="1" applyBorder="1" applyAlignment="1">
      <alignment horizontal="left"/>
    </xf>
    <xf numFmtId="0" fontId="42" fillId="0" borderId="0" xfId="4" applyFont="1" applyAlignment="1">
      <alignment wrapText="1"/>
    </xf>
    <xf numFmtId="0" fontId="33" fillId="0" borderId="0" xfId="4" applyFont="1"/>
    <xf numFmtId="0" fontId="44" fillId="0" borderId="3" xfId="4" applyFont="1" applyBorder="1" applyAlignment="1">
      <alignment vertical="center" wrapText="1"/>
    </xf>
    <xf numFmtId="0" fontId="41" fillId="0" borderId="10" xfId="4" applyFont="1" applyBorder="1"/>
    <xf numFmtId="0" fontId="41" fillId="0" borderId="11" xfId="4" applyFont="1" applyBorder="1"/>
    <xf numFmtId="0" fontId="42" fillId="0" borderId="12" xfId="4" applyFont="1" applyBorder="1"/>
    <xf numFmtId="0" fontId="30" fillId="0" borderId="15" xfId="4" applyFont="1" applyBorder="1" applyAlignment="1">
      <alignment horizontal="center" vertical="top" wrapText="1"/>
    </xf>
    <xf numFmtId="0" fontId="30" fillId="0" borderId="15" xfId="4" applyFont="1" applyBorder="1" applyAlignment="1">
      <alignment horizontal="left" vertical="top" wrapText="1"/>
    </xf>
    <xf numFmtId="0" fontId="27" fillId="0" borderId="15" xfId="4" applyFont="1" applyBorder="1" applyAlignment="1">
      <alignment horizontal="left" vertical="top" wrapText="1"/>
    </xf>
    <xf numFmtId="0" fontId="27" fillId="0" borderId="0" xfId="4" applyFont="1" applyAlignment="1">
      <alignment horizontal="left" vertical="top"/>
    </xf>
    <xf numFmtId="0" fontId="26" fillId="0" borderId="6" xfId="4" applyFont="1" applyBorder="1" applyAlignment="1">
      <alignment horizontal="center" vertical="center"/>
    </xf>
    <xf numFmtId="0" fontId="45" fillId="0" borderId="19" xfId="4" applyFont="1" applyBorder="1"/>
    <xf numFmtId="0" fontId="45" fillId="0" borderId="6" xfId="4" applyFont="1" applyBorder="1"/>
    <xf numFmtId="0" fontId="45" fillId="0" borderId="9" xfId="4" applyFont="1" applyBorder="1" applyAlignment="1">
      <alignment vertical="top"/>
    </xf>
    <xf numFmtId="0" fontId="26" fillId="0" borderId="20" xfId="4" applyFont="1" applyBorder="1" applyAlignment="1">
      <alignment horizontal="center"/>
    </xf>
    <xf numFmtId="166" fontId="26" fillId="0" borderId="20" xfId="4" applyNumberFormat="1" applyFont="1" applyBorder="1" applyAlignment="1">
      <alignment horizontal="center"/>
    </xf>
    <xf numFmtId="0" fontId="41" fillId="0" borderId="3" xfId="4" applyFont="1" applyBorder="1" applyAlignment="1">
      <alignment horizontal="center"/>
    </xf>
    <xf numFmtId="0" fontId="45" fillId="0" borderId="20" xfId="4" applyFont="1" applyBorder="1" applyAlignment="1">
      <alignment horizontal="center"/>
    </xf>
    <xf numFmtId="0" fontId="46" fillId="0" borderId="0" xfId="5" applyFont="1" applyAlignment="1">
      <alignment horizontal="center"/>
    </xf>
    <xf numFmtId="0" fontId="46" fillId="0" borderId="8" xfId="4" applyFont="1" applyBorder="1"/>
    <xf numFmtId="0" fontId="45" fillId="0" borderId="3" xfId="4" applyFont="1" applyBorder="1" applyAlignment="1">
      <alignment vertical="center" wrapText="1"/>
    </xf>
    <xf numFmtId="167" fontId="45" fillId="0" borderId="0" xfId="4" applyNumberFormat="1" applyFont="1" applyAlignment="1">
      <alignment horizontal="center"/>
    </xf>
    <xf numFmtId="0" fontId="45" fillId="0" borderId="20" xfId="4" applyFont="1" applyBorder="1" applyAlignment="1">
      <alignment horizontal="center" vertical="center"/>
    </xf>
    <xf numFmtId="0" fontId="40" fillId="0" borderId="0" xfId="4" applyFont="1"/>
    <xf numFmtId="0" fontId="45" fillId="0" borderId="8" xfId="4" applyFont="1" applyBorder="1" applyAlignment="1">
      <alignment horizontal="center" vertical="center"/>
    </xf>
    <xf numFmtId="0" fontId="46" fillId="0" borderId="20" xfId="4" applyFont="1" applyBorder="1" applyAlignment="1">
      <alignment horizontal="center"/>
    </xf>
    <xf numFmtId="0" fontId="45" fillId="0" borderId="3" xfId="4" applyFont="1" applyBorder="1"/>
    <xf numFmtId="168" fontId="45" fillId="0" borderId="20" xfId="4" applyNumberFormat="1" applyFont="1" applyBorder="1" applyAlignment="1">
      <alignment horizontal="center"/>
    </xf>
    <xf numFmtId="169" fontId="45" fillId="0" borderId="20" xfId="4" applyNumberFormat="1" applyFont="1" applyBorder="1" applyAlignment="1">
      <alignment horizontal="center"/>
    </xf>
    <xf numFmtId="170" fontId="45" fillId="0" borderId="3" xfId="5" applyNumberFormat="1" applyFont="1" applyBorder="1" applyAlignment="1">
      <alignment horizontal="left"/>
    </xf>
    <xf numFmtId="166" fontId="45" fillId="0" borderId="20" xfId="4" applyNumberFormat="1" applyFont="1" applyBorder="1" applyAlignment="1">
      <alignment horizontal="center"/>
    </xf>
    <xf numFmtId="0" fontId="45" fillId="0" borderId="20" xfId="4" applyFont="1" applyBorder="1"/>
    <xf numFmtId="0" fontId="45" fillId="0" borderId="3" xfId="4" applyFont="1" applyBorder="1" applyAlignment="1">
      <alignment horizontal="center"/>
    </xf>
    <xf numFmtId="0" fontId="46" fillId="0" borderId="20" xfId="4" applyFont="1" applyBorder="1"/>
    <xf numFmtId="0" fontId="45" fillId="0" borderId="3" xfId="4" applyFont="1" applyBorder="1" applyAlignment="1">
      <alignment vertical="center"/>
    </xf>
    <xf numFmtId="0" fontId="26" fillId="0" borderId="10" xfId="4" applyFont="1" applyBorder="1" applyAlignment="1">
      <alignment horizontal="center" vertical="center"/>
    </xf>
    <xf numFmtId="0" fontId="26" fillId="0" borderId="21" xfId="4" applyFont="1" applyBorder="1" applyAlignment="1">
      <alignment horizontal="left"/>
    </xf>
    <xf numFmtId="0" fontId="26" fillId="0" borderId="10" xfId="4" applyFont="1" applyBorder="1" applyAlignment="1">
      <alignment horizontal="left"/>
    </xf>
    <xf numFmtId="0" fontId="41" fillId="0" borderId="12" xfId="4" applyFont="1" applyBorder="1"/>
    <xf numFmtId="0" fontId="26" fillId="0" borderId="21" xfId="4" applyFont="1" applyBorder="1" applyAlignment="1">
      <alignment horizontal="center"/>
    </xf>
    <xf numFmtId="0" fontId="26" fillId="0" borderId="12" xfId="4" applyFont="1" applyBorder="1"/>
    <xf numFmtId="0" fontId="26" fillId="0" borderId="0" xfId="4" applyFont="1" applyAlignment="1">
      <alignment horizontal="left"/>
    </xf>
    <xf numFmtId="171" fontId="26" fillId="0" borderId="0" xfId="6" applyNumberFormat="1" applyFont="1" applyAlignment="1">
      <alignment horizontal="left"/>
    </xf>
    <xf numFmtId="0" fontId="26" fillId="0" borderId="0" xfId="4" applyFont="1" applyAlignment="1">
      <alignment horizontal="right"/>
    </xf>
    <xf numFmtId="0" fontId="27" fillId="0" borderId="6" xfId="4" applyFont="1" applyBorder="1" applyAlignment="1">
      <alignment horizontal="center" vertical="center"/>
    </xf>
    <xf numFmtId="0" fontId="27" fillId="0" borderId="5" xfId="4" applyFont="1" applyBorder="1" applyAlignment="1">
      <alignment horizontal="center" vertical="center"/>
    </xf>
    <xf numFmtId="0" fontId="27" fillId="0" borderId="9" xfId="4" applyFont="1" applyBorder="1" applyAlignment="1">
      <alignment vertical="center"/>
    </xf>
    <xf numFmtId="0" fontId="26" fillId="0" borderId="8" xfId="4" applyFont="1" applyBorder="1" applyAlignment="1">
      <alignment vertical="top"/>
    </xf>
    <xf numFmtId="0" fontId="26" fillId="0" borderId="0" xfId="4" applyFont="1" applyAlignment="1">
      <alignment vertical="top" wrapText="1"/>
    </xf>
    <xf numFmtId="0" fontId="26" fillId="0" borderId="3" xfId="4" applyFont="1" applyBorder="1" applyAlignment="1">
      <alignment vertical="top" wrapText="1"/>
    </xf>
    <xf numFmtId="0" fontId="26" fillId="0" borderId="8" xfId="4" applyFont="1" applyBorder="1" applyAlignment="1">
      <alignment horizontal="left"/>
    </xf>
    <xf numFmtId="0" fontId="26" fillId="0" borderId="3" xfId="4" applyFont="1" applyBorder="1"/>
    <xf numFmtId="0" fontId="26" fillId="0" borderId="8" xfId="4" applyFont="1" applyBorder="1" applyAlignment="1">
      <alignment wrapText="1"/>
    </xf>
    <xf numFmtId="0" fontId="26" fillId="0" borderId="0" xfId="4" applyFont="1" applyAlignment="1">
      <alignment wrapText="1"/>
    </xf>
    <xf numFmtId="0" fontId="26" fillId="0" borderId="3" xfId="4" applyFont="1" applyBorder="1" applyAlignment="1">
      <alignment wrapText="1"/>
    </xf>
    <xf numFmtId="0" fontId="31" fillId="0" borderId="0" xfId="4" applyFont="1"/>
    <xf numFmtId="0" fontId="31" fillId="0" borderId="3" xfId="4" applyFont="1" applyBorder="1"/>
    <xf numFmtId="0" fontId="31" fillId="0" borderId="8" xfId="4" applyFont="1" applyBorder="1"/>
    <xf numFmtId="0" fontId="26" fillId="0" borderId="3" xfId="4" applyFont="1" applyBorder="1" applyAlignment="1">
      <alignment horizontal="left"/>
    </xf>
    <xf numFmtId="171" fontId="26" fillId="0" borderId="0" xfId="6" applyNumberFormat="1" applyFont="1" applyAlignment="1">
      <alignment horizontal="right"/>
    </xf>
    <xf numFmtId="0" fontId="45" fillId="0" borderId="8" xfId="4" applyFont="1" applyBorder="1" applyAlignment="1">
      <alignment horizontal="center" vertical="top"/>
    </xf>
    <xf numFmtId="0" fontId="45" fillId="0" borderId="0" xfId="4" applyFont="1" applyAlignment="1">
      <alignment horizontal="center" vertical="top"/>
    </xf>
    <xf numFmtId="172" fontId="40" fillId="0" borderId="8" xfId="4" applyNumberFormat="1" applyFont="1" applyBorder="1"/>
    <xf numFmtId="172" fontId="26" fillId="0" borderId="8" xfId="4" applyNumberFormat="1" applyFont="1" applyBorder="1"/>
    <xf numFmtId="172" fontId="40" fillId="0" borderId="0" xfId="4" applyNumberFormat="1" applyFont="1"/>
    <xf numFmtId="172" fontId="40" fillId="0" borderId="3" xfId="4" applyNumberFormat="1" applyFont="1" applyBorder="1"/>
    <xf numFmtId="172" fontId="40" fillId="0" borderId="20" xfId="4" applyNumberFormat="1" applyFont="1" applyBorder="1"/>
    <xf numFmtId="0" fontId="26" fillId="0" borderId="24" xfId="4" applyFont="1" applyBorder="1"/>
    <xf numFmtId="0" fontId="40" fillId="0" borderId="0" xfId="4" applyFont="1" applyAlignment="1">
      <alignment wrapText="1"/>
    </xf>
    <xf numFmtId="0" fontId="40" fillId="0" borderId="3" xfId="4" applyFont="1" applyBorder="1" applyAlignment="1">
      <alignment wrapText="1"/>
    </xf>
    <xf numFmtId="0" fontId="40" fillId="0" borderId="8" xfId="4" applyFont="1" applyBorder="1" applyAlignment="1">
      <alignment wrapText="1"/>
    </xf>
    <xf numFmtId="0" fontId="27" fillId="0" borderId="6" xfId="4" quotePrefix="1" applyFont="1" applyBorder="1" applyAlignment="1">
      <alignment horizontal="left"/>
    </xf>
    <xf numFmtId="0" fontId="18" fillId="0" borderId="11" xfId="2" applyFont="1" applyBorder="1" applyAlignment="1">
      <alignment horizontal="left" vertical="top" wrapText="1"/>
    </xf>
    <xf numFmtId="0" fontId="48" fillId="0" borderId="0" xfId="7" applyAlignment="1">
      <alignment horizontal="left" vertical="top"/>
    </xf>
    <xf numFmtId="0" fontId="48" fillId="0" borderId="6" xfId="7" applyBorder="1" applyAlignment="1">
      <alignment horizontal="left" vertical="top"/>
    </xf>
    <xf numFmtId="0" fontId="48" fillId="0" borderId="5" xfId="7" applyBorder="1" applyAlignment="1">
      <alignment horizontal="left" vertical="top" wrapText="1"/>
    </xf>
    <xf numFmtId="0" fontId="48" fillId="0" borderId="9" xfId="7" applyBorder="1" applyAlignment="1">
      <alignment horizontal="left" vertical="top" wrapText="1"/>
    </xf>
    <xf numFmtId="0" fontId="51" fillId="0" borderId="5" xfId="7" applyFont="1" applyBorder="1" applyAlignment="1">
      <alignment vertical="center" wrapText="1"/>
    </xf>
    <xf numFmtId="0" fontId="48" fillId="0" borderId="5" xfId="7" applyBorder="1"/>
    <xf numFmtId="0" fontId="48" fillId="0" borderId="5" xfId="7" applyBorder="1" applyAlignment="1">
      <alignment vertical="top" wrapText="1"/>
    </xf>
    <xf numFmtId="0" fontId="48" fillId="0" borderId="9" xfId="7" applyBorder="1" applyAlignment="1">
      <alignment horizontal="center" vertical="top" wrapText="1"/>
    </xf>
    <xf numFmtId="0" fontId="48" fillId="0" borderId="0" xfId="7" applyAlignment="1">
      <alignment horizontal="left" vertical="top" wrapText="1"/>
    </xf>
    <xf numFmtId="0" fontId="48" fillId="0" borderId="8" xfId="7" applyBorder="1" applyAlignment="1">
      <alignment horizontal="left" vertical="top"/>
    </xf>
    <xf numFmtId="0" fontId="52" fillId="0" borderId="0" xfId="7" applyFont="1" applyAlignment="1">
      <alignment horizontal="left"/>
    </xf>
    <xf numFmtId="0" fontId="48" fillId="0" borderId="3" xfId="7" applyBorder="1" applyAlignment="1">
      <alignment horizontal="left" vertical="top" wrapText="1"/>
    </xf>
    <xf numFmtId="0" fontId="48" fillId="0" borderId="0" xfId="7" applyAlignment="1">
      <alignment vertical="top" wrapText="1"/>
    </xf>
    <xf numFmtId="0" fontId="48" fillId="0" borderId="3" xfId="7" applyBorder="1" applyAlignment="1">
      <alignment horizontal="center" vertical="top" wrapText="1"/>
    </xf>
    <xf numFmtId="0" fontId="48" fillId="0" borderId="12" xfId="7" applyBorder="1" applyAlignment="1">
      <alignment horizontal="left" vertical="top" wrapText="1"/>
    </xf>
    <xf numFmtId="0" fontId="55" fillId="0" borderId="0" xfId="7" applyFont="1" applyAlignment="1">
      <alignment horizontal="left"/>
    </xf>
    <xf numFmtId="0" fontId="52" fillId="0" borderId="0" xfId="7" applyFont="1"/>
    <xf numFmtId="0" fontId="52" fillId="0" borderId="0" xfId="7" applyFont="1" applyAlignment="1">
      <alignment wrapText="1"/>
    </xf>
    <xf numFmtId="0" fontId="7" fillId="0" borderId="11" xfId="7" applyFont="1" applyBorder="1" applyAlignment="1">
      <alignment vertical="center" wrapText="1"/>
    </xf>
    <xf numFmtId="0" fontId="57" fillId="0" borderId="5" xfId="7" applyFont="1" applyBorder="1" applyAlignment="1">
      <alignment horizontal="left" wrapText="1"/>
    </xf>
    <xf numFmtId="0" fontId="15" fillId="0" borderId="5" xfId="7" applyFont="1" applyBorder="1" applyAlignment="1">
      <alignment horizontal="left" vertical="center" wrapText="1"/>
    </xf>
    <xf numFmtId="0" fontId="15" fillId="0" borderId="9" xfId="7" applyFont="1" applyBorder="1" applyAlignment="1">
      <alignment horizontal="left" vertical="center" wrapText="1"/>
    </xf>
    <xf numFmtId="0" fontId="50" fillId="0" borderId="5" xfId="7" applyFont="1" applyBorder="1" applyAlignment="1">
      <alignment wrapText="1"/>
    </xf>
    <xf numFmtId="0" fontId="48" fillId="0" borderId="9" xfId="7" applyBorder="1" applyAlignment="1">
      <alignment horizontal="left" vertical="top" wrapText="1" indent="1"/>
    </xf>
    <xf numFmtId="0" fontId="48" fillId="0" borderId="0" xfId="7" applyAlignment="1">
      <alignment horizontal="left" vertical="center" wrapText="1"/>
    </xf>
    <xf numFmtId="0" fontId="57" fillId="0" borderId="0" xfId="7" applyFont="1" applyAlignment="1">
      <alignment horizontal="left" wrapText="1"/>
    </xf>
    <xf numFmtId="0" fontId="15" fillId="0" borderId="0" xfId="7" applyFont="1" applyAlignment="1">
      <alignment horizontal="left" vertical="center" wrapText="1"/>
    </xf>
    <xf numFmtId="0" fontId="15" fillId="0" borderId="3" xfId="7" applyFont="1" applyBorder="1" applyAlignment="1">
      <alignment horizontal="left" vertical="center" wrapText="1"/>
    </xf>
    <xf numFmtId="0" fontId="50" fillId="0" borderId="0" xfId="7" applyFont="1" applyAlignment="1">
      <alignment wrapText="1"/>
    </xf>
    <xf numFmtId="0" fontId="48" fillId="0" borderId="3" xfId="7" applyBorder="1" applyAlignment="1">
      <alignment horizontal="left" vertical="top" wrapText="1" indent="1"/>
    </xf>
    <xf numFmtId="0" fontId="49" fillId="0" borderId="0" xfId="7" applyFont="1"/>
    <xf numFmtId="0" fontId="52" fillId="0" borderId="0" xfId="7" applyFont="1" applyAlignment="1">
      <alignment vertical="top"/>
    </xf>
    <xf numFmtId="173" fontId="52" fillId="0" borderId="0" xfId="7" applyNumberFormat="1" applyFont="1"/>
    <xf numFmtId="0" fontId="58" fillId="0" borderId="0" xfId="7" applyFont="1" applyAlignment="1">
      <alignment vertical="top"/>
    </xf>
    <xf numFmtId="0" fontId="59" fillId="0" borderId="0" xfId="7" applyFont="1"/>
    <xf numFmtId="0" fontId="57" fillId="0" borderId="0" xfId="7" applyFont="1" applyAlignment="1">
      <alignment horizontal="left"/>
    </xf>
    <xf numFmtId="0" fontId="60" fillId="0" borderId="0" xfId="7" applyFont="1" applyAlignment="1">
      <alignment horizontal="left" vertical="center" wrapText="1"/>
    </xf>
    <xf numFmtId="0" fontId="60" fillId="0" borderId="0" xfId="7" applyFont="1"/>
    <xf numFmtId="0" fontId="32" fillId="0" borderId="0" xfId="7" applyFont="1" applyAlignment="1">
      <alignment horizontal="left" vertical="center" wrapText="1"/>
    </xf>
    <xf numFmtId="0" fontId="60" fillId="0" borderId="0" xfId="7" applyFont="1" applyAlignment="1">
      <alignment horizontal="left" indent="4"/>
    </xf>
    <xf numFmtId="0" fontId="48" fillId="0" borderId="0" xfId="7" applyAlignment="1">
      <alignment vertical="top"/>
    </xf>
    <xf numFmtId="0" fontId="9" fillId="0" borderId="0" xfId="7" applyFont="1" applyAlignment="1">
      <alignment wrapText="1"/>
    </xf>
    <xf numFmtId="0" fontId="52" fillId="0" borderId="0" xfId="7" applyFont="1" applyAlignment="1">
      <alignment horizontal="left" vertical="top"/>
    </xf>
    <xf numFmtId="0" fontId="59" fillId="0" borderId="0" xfId="7" applyFont="1" applyAlignment="1">
      <alignment horizontal="centerContinuous" vertical="top" wrapText="1"/>
    </xf>
    <xf numFmtId="0" fontId="48" fillId="0" borderId="12" xfId="7" applyBorder="1" applyAlignment="1">
      <alignment horizontal="left" vertical="top" wrapText="1" indent="1"/>
    </xf>
    <xf numFmtId="0" fontId="57" fillId="0" borderId="5" xfId="7" applyFont="1" applyBorder="1" applyAlignment="1">
      <alignment horizontal="left"/>
    </xf>
    <xf numFmtId="0" fontId="48" fillId="0" borderId="5" xfId="7" applyBorder="1" applyAlignment="1">
      <alignment horizontal="left"/>
    </xf>
    <xf numFmtId="0" fontId="48" fillId="0" borderId="6" xfId="7" applyBorder="1" applyAlignment="1">
      <alignment horizontal="left"/>
    </xf>
    <xf numFmtId="0" fontId="57" fillId="0" borderId="9" xfId="7" applyFont="1" applyBorder="1" applyAlignment="1">
      <alignment horizontal="left" wrapText="1"/>
    </xf>
    <xf numFmtId="0" fontId="57" fillId="0" borderId="5" xfId="7" applyFont="1" applyBorder="1"/>
    <xf numFmtId="0" fontId="48" fillId="0" borderId="5" xfId="7" applyBorder="1" applyAlignment="1">
      <alignment horizontal="left" vertical="top"/>
    </xf>
    <xf numFmtId="0" fontId="57" fillId="0" borderId="6" xfId="7" applyFont="1" applyBorder="1" applyAlignment="1">
      <alignment horizontal="left" wrapText="1"/>
    </xf>
    <xf numFmtId="0" fontId="15" fillId="0" borderId="3" xfId="7" applyFont="1" applyBorder="1" applyAlignment="1">
      <alignment horizontal="left" vertical="top" wrapText="1"/>
    </xf>
    <xf numFmtId="0" fontId="48" fillId="0" borderId="0" xfId="7" applyAlignment="1">
      <alignment horizontal="left"/>
    </xf>
    <xf numFmtId="0" fontId="57" fillId="0" borderId="8" xfId="7" applyFont="1" applyBorder="1" applyAlignment="1">
      <alignment horizontal="left" wrapText="1"/>
    </xf>
    <xf numFmtId="0" fontId="57" fillId="0" borderId="3" xfId="7" applyFont="1" applyBorder="1" applyAlignment="1">
      <alignment horizontal="left" wrapText="1"/>
    </xf>
    <xf numFmtId="0" fontId="57" fillId="0" borderId="0" xfId="7" applyFont="1"/>
    <xf numFmtId="0" fontId="48" fillId="0" borderId="8" xfId="7" applyBorder="1" applyAlignment="1">
      <alignment horizontal="left"/>
    </xf>
    <xf numFmtId="0" fontId="48" fillId="0" borderId="3" xfId="7" applyBorder="1" applyAlignment="1">
      <alignment horizontal="left"/>
    </xf>
    <xf numFmtId="0" fontId="48" fillId="0" borderId="10" xfId="7" applyBorder="1" applyAlignment="1">
      <alignment horizontal="left" vertical="top"/>
    </xf>
    <xf numFmtId="0" fontId="57" fillId="0" borderId="11" xfId="7" applyFont="1" applyBorder="1" applyAlignment="1">
      <alignment horizontal="left" wrapText="1"/>
    </xf>
    <xf numFmtId="0" fontId="57" fillId="0" borderId="10" xfId="7" applyFont="1" applyBorder="1" applyAlignment="1">
      <alignment horizontal="left" wrapText="1"/>
    </xf>
    <xf numFmtId="0" fontId="57" fillId="0" borderId="12" xfId="7" applyFont="1" applyBorder="1" applyAlignment="1">
      <alignment horizontal="left" wrapText="1"/>
    </xf>
    <xf numFmtId="0" fontId="57" fillId="0" borderId="11" xfId="7" applyFont="1" applyBorder="1"/>
    <xf numFmtId="0" fontId="15" fillId="0" borderId="12" xfId="7" applyFont="1" applyBorder="1" applyAlignment="1">
      <alignment horizontal="left" vertical="top" wrapText="1"/>
    </xf>
    <xf numFmtId="0" fontId="61" fillId="0" borderId="0" xfId="7" applyFont="1"/>
    <xf numFmtId="0" fontId="61" fillId="0" borderId="0" xfId="7" applyFont="1" applyAlignment="1">
      <alignment horizontal="left"/>
    </xf>
    <xf numFmtId="0" fontId="61" fillId="0" borderId="8" xfId="7" applyFont="1" applyBorder="1" applyAlignment="1">
      <alignment horizontal="left"/>
    </xf>
    <xf numFmtId="0" fontId="62" fillId="0" borderId="0" xfId="7" applyFont="1" applyAlignment="1">
      <alignment horizontal="left"/>
    </xf>
    <xf numFmtId="0" fontId="62" fillId="0" borderId="3" xfId="7" applyFont="1" applyBorder="1" applyAlignment="1">
      <alignment horizontal="left"/>
    </xf>
    <xf numFmtId="0" fontId="62" fillId="0" borderId="0" xfId="7" applyFont="1"/>
    <xf numFmtId="0" fontId="62" fillId="0" borderId="8" xfId="7" applyFont="1" applyBorder="1" applyAlignment="1">
      <alignment horizontal="left"/>
    </xf>
    <xf numFmtId="1" fontId="64" fillId="0" borderId="0" xfId="7" applyNumberFormat="1" applyFont="1" applyAlignment="1">
      <alignment horizontal="left" shrinkToFit="1"/>
    </xf>
    <xf numFmtId="1" fontId="65" fillId="0" borderId="3" xfId="7" applyNumberFormat="1" applyFont="1" applyBorder="1" applyAlignment="1">
      <alignment horizontal="left" vertical="top" shrinkToFit="1"/>
    </xf>
    <xf numFmtId="0" fontId="61" fillId="0" borderId="3" xfId="7" applyFont="1" applyBorder="1" applyAlignment="1">
      <alignment horizontal="left"/>
    </xf>
    <xf numFmtId="0" fontId="48" fillId="0" borderId="0" xfId="7" applyAlignment="1">
      <alignment horizontal="left" wrapText="1"/>
    </xf>
    <xf numFmtId="0" fontId="48" fillId="0" borderId="3" xfId="7" applyBorder="1" applyAlignment="1">
      <alignment horizontal="left" wrapText="1"/>
    </xf>
    <xf numFmtId="0" fontId="61" fillId="0" borderId="10" xfId="7" applyFont="1" applyBorder="1" applyAlignment="1">
      <alignment horizontal="left"/>
    </xf>
    <xf numFmtId="0" fontId="61" fillId="0" borderId="11" xfId="7" applyFont="1" applyBorder="1" applyAlignment="1">
      <alignment horizontal="left"/>
    </xf>
    <xf numFmtId="0" fontId="61" fillId="0" borderId="12" xfId="7" applyFont="1" applyBorder="1" applyAlignment="1">
      <alignment horizontal="left"/>
    </xf>
    <xf numFmtId="0" fontId="62" fillId="0" borderId="10" xfId="7" applyFont="1" applyBorder="1" applyAlignment="1">
      <alignment horizontal="left"/>
    </xf>
    <xf numFmtId="0" fontId="50" fillId="0" borderId="5" xfId="7" applyFont="1" applyBorder="1"/>
    <xf numFmtId="0" fontId="51" fillId="0" borderId="5" xfId="7" applyFont="1" applyBorder="1"/>
    <xf numFmtId="0" fontId="50" fillId="0" borderId="0" xfId="7" applyFont="1" applyAlignment="1">
      <alignment horizontal="left" indent="2"/>
    </xf>
    <xf numFmtId="0" fontId="50" fillId="0" borderId="0" xfId="7" applyFont="1" applyAlignment="1">
      <alignment horizontal="left" indent="1"/>
    </xf>
    <xf numFmtId="0" fontId="66" fillId="0" borderId="0" xfId="7" applyFont="1" applyAlignment="1">
      <alignment horizontal="left" indent="1"/>
    </xf>
    <xf numFmtId="0" fontId="50" fillId="0" borderId="0" xfId="7" applyFont="1" applyAlignment="1">
      <alignment horizontal="left" indent="3"/>
    </xf>
    <xf numFmtId="0" fontId="50" fillId="0" borderId="0" xfId="7" applyFont="1"/>
    <xf numFmtId="0" fontId="50" fillId="0" borderId="0" xfId="7" applyFont="1" applyAlignment="1">
      <alignment horizontal="centerContinuous"/>
    </xf>
    <xf numFmtId="49" fontId="50" fillId="0" borderId="5" xfId="7" applyNumberFormat="1" applyFont="1" applyBorder="1" applyAlignment="1">
      <alignment horizontal="left"/>
    </xf>
    <xf numFmtId="0" fontId="48" fillId="0" borderId="5" xfId="7" applyBorder="1" applyAlignment="1">
      <alignment horizontal="left" vertical="top" indent="6"/>
    </xf>
    <xf numFmtId="0" fontId="48" fillId="0" borderId="11" xfId="7" applyBorder="1" applyAlignment="1">
      <alignment horizontal="left" vertical="top"/>
    </xf>
    <xf numFmtId="0" fontId="50" fillId="0" borderId="11" xfId="7" applyFont="1" applyBorder="1"/>
    <xf numFmtId="0" fontId="48" fillId="0" borderId="11" xfId="7" applyBorder="1" applyAlignment="1">
      <alignment horizontal="left" vertical="top" wrapText="1"/>
    </xf>
    <xf numFmtId="0" fontId="48" fillId="0" borderId="11" xfId="7" applyBorder="1" applyAlignment="1">
      <alignment vertical="top" wrapText="1"/>
    </xf>
    <xf numFmtId="0" fontId="48" fillId="0" borderId="11" xfId="7" applyBorder="1" applyAlignment="1">
      <alignment horizontal="left" vertical="top" indent="6"/>
    </xf>
    <xf numFmtId="0" fontId="48" fillId="0" borderId="12" xfId="7" applyBorder="1" applyAlignment="1">
      <alignment horizontal="center" vertical="top" wrapText="1"/>
    </xf>
    <xf numFmtId="0" fontId="15" fillId="0" borderId="0" xfId="7" applyFont="1" applyAlignment="1">
      <alignment horizontal="right" vertical="top" wrapText="1" indent="4"/>
    </xf>
    <xf numFmtId="0" fontId="15" fillId="0" borderId="0" xfId="7" applyFont="1" applyAlignment="1">
      <alignment horizontal="left" vertical="top" wrapText="1" indent="2"/>
    </xf>
    <xf numFmtId="0" fontId="7" fillId="0" borderId="0" xfId="7" applyFont="1" applyAlignment="1">
      <alignment horizontal="left" vertical="top"/>
    </xf>
    <xf numFmtId="0" fontId="51" fillId="0" borderId="0" xfId="0" applyFont="1" applyAlignment="1">
      <alignment horizontal="left" indent="1"/>
    </xf>
    <xf numFmtId="0" fontId="51" fillId="0" borderId="0" xfId="0" applyFont="1" applyAlignment="1">
      <alignment vertical="top" wrapText="1"/>
    </xf>
    <xf numFmtId="0" fontId="51" fillId="0" borderId="0" xfId="0" applyFont="1"/>
    <xf numFmtId="0" fontId="7" fillId="0" borderId="0" xfId="0" applyFont="1" applyAlignment="1">
      <alignment vertical="center"/>
    </xf>
    <xf numFmtId="0" fontId="67" fillId="0" borderId="0" xfId="0" applyFont="1" applyAlignment="1">
      <alignment horizontal="right" vertical="center" wrapText="1"/>
    </xf>
    <xf numFmtId="0" fontId="6" fillId="0" borderId="0" xfId="0" applyFont="1" applyAlignment="1">
      <alignment vertical="top"/>
    </xf>
    <xf numFmtId="0" fontId="51" fillId="0" borderId="0" xfId="0" applyFont="1" applyAlignment="1">
      <alignment wrapText="1"/>
    </xf>
    <xf numFmtId="0" fontId="63" fillId="0" borderId="0" xfId="7" applyFont="1" applyAlignment="1">
      <alignment horizontal="left"/>
    </xf>
    <xf numFmtId="0" fontId="13" fillId="0" borderId="15" xfId="0" applyFont="1" applyBorder="1" applyAlignment="1">
      <alignment horizontal="center" vertical="top"/>
    </xf>
    <xf numFmtId="0" fontId="59" fillId="0" borderId="0" xfId="0" applyFont="1"/>
    <xf numFmtId="0" fontId="59" fillId="0" borderId="0" xfId="0" applyFont="1" applyAlignment="1">
      <alignment horizontal="left" indent="1"/>
    </xf>
    <xf numFmtId="0" fontId="9" fillId="0" borderId="0" xfId="0" applyFont="1"/>
    <xf numFmtId="0" fontId="23" fillId="0" borderId="0" xfId="0" applyFont="1" applyAlignment="1">
      <alignment horizontal="left" vertical="center"/>
    </xf>
    <xf numFmtId="0" fontId="68" fillId="0" borderId="0" xfId="0" applyFont="1" applyAlignment="1">
      <alignment horizontal="left" vertical="center"/>
    </xf>
    <xf numFmtId="0" fontId="72" fillId="0" borderId="0" xfId="8" applyFont="1" applyAlignment="1">
      <alignment vertical="center"/>
    </xf>
    <xf numFmtId="0" fontId="74" fillId="0" borderId="0" xfId="8" applyFont="1" applyAlignment="1">
      <alignment vertical="center" wrapText="1"/>
    </xf>
    <xf numFmtId="0" fontId="75" fillId="0" borderId="0" xfId="8" applyFont="1" applyAlignment="1">
      <alignment vertical="center"/>
    </xf>
    <xf numFmtId="0" fontId="76" fillId="0" borderId="0" xfId="8" applyFont="1" applyAlignment="1">
      <alignment vertical="center" wrapText="1"/>
    </xf>
    <xf numFmtId="0" fontId="25" fillId="0" borderId="0" xfId="8" applyFont="1" applyAlignment="1">
      <alignment vertical="center"/>
    </xf>
    <xf numFmtId="0" fontId="77" fillId="0" borderId="0" xfId="8" applyFont="1" applyAlignment="1">
      <alignment vertical="top" wrapText="1"/>
    </xf>
    <xf numFmtId="0" fontId="75" fillId="0" borderId="0" xfId="8" applyFont="1"/>
    <xf numFmtId="0" fontId="78" fillId="0" borderId="0" xfId="8" applyFont="1"/>
    <xf numFmtId="0" fontId="71" fillId="0" borderId="0" xfId="8" applyFont="1" applyAlignment="1">
      <alignment horizontal="center" vertical="top" wrapText="1"/>
    </xf>
    <xf numFmtId="0" fontId="74" fillId="0" borderId="0" xfId="8" applyFont="1" applyAlignment="1">
      <alignment horizontal="justify" vertical="justify" wrapText="1"/>
    </xf>
    <xf numFmtId="0" fontId="78" fillId="0" borderId="0" xfId="8" applyFont="1" applyAlignment="1">
      <alignment vertical="center" wrapText="1"/>
    </xf>
    <xf numFmtId="0" fontId="74" fillId="0" borderId="0" xfId="9" applyFont="1"/>
    <xf numFmtId="0" fontId="78" fillId="0" borderId="0" xfId="8" applyFont="1" applyAlignment="1">
      <alignment vertical="center"/>
    </xf>
    <xf numFmtId="174" fontId="74" fillId="0" borderId="0" xfId="8" applyNumberFormat="1" applyFont="1" applyAlignment="1">
      <alignment horizontal="justify" vertical="justify"/>
    </xf>
    <xf numFmtId="0" fontId="71" fillId="0" borderId="0" xfId="8" applyFont="1"/>
    <xf numFmtId="0" fontId="71" fillId="0" borderId="0" xfId="8" applyFont="1" applyAlignment="1">
      <alignment horizontal="justify"/>
    </xf>
    <xf numFmtId="0" fontId="79" fillId="0" borderId="0" xfId="8" applyFont="1" applyAlignment="1">
      <alignment vertical="center"/>
    </xf>
    <xf numFmtId="175" fontId="71" fillId="0" borderId="0" xfId="10" applyNumberFormat="1" applyFont="1" applyAlignment="1">
      <alignment horizontal="justify" wrapText="1"/>
    </xf>
    <xf numFmtId="0" fontId="71" fillId="0" borderId="0" xfId="10" applyFont="1" applyAlignment="1">
      <alignment horizontal="justify"/>
    </xf>
    <xf numFmtId="0" fontId="74" fillId="0" borderId="0" xfId="8" applyFont="1" applyAlignment="1">
      <alignment horizontal="left" vertical="center" indent="1"/>
    </xf>
    <xf numFmtId="0" fontId="74" fillId="0" borderId="0" xfId="8" applyFont="1" applyAlignment="1">
      <alignment horizontal="left" vertical="center" wrapText="1"/>
    </xf>
    <xf numFmtId="0" fontId="74" fillId="0" borderId="0" xfId="8" applyFont="1" applyAlignment="1">
      <alignment vertical="center"/>
    </xf>
    <xf numFmtId="0" fontId="71" fillId="0" borderId="0" xfId="8" applyFont="1" applyAlignment="1">
      <alignment vertical="top" wrapText="1"/>
    </xf>
    <xf numFmtId="0" fontId="74" fillId="0" borderId="0" xfId="8" applyFont="1"/>
    <xf numFmtId="0" fontId="81" fillId="0" borderId="0" xfId="9" applyFont="1"/>
    <xf numFmtId="0" fontId="82" fillId="0" borderId="0" xfId="9" applyFont="1"/>
    <xf numFmtId="0" fontId="83" fillId="0" borderId="0" xfId="9" applyFont="1"/>
    <xf numFmtId="0" fontId="84" fillId="0" borderId="0" xfId="9" applyFont="1"/>
    <xf numFmtId="0" fontId="76" fillId="0" borderId="0" xfId="9" applyFont="1"/>
    <xf numFmtId="0" fontId="74" fillId="0" borderId="0" xfId="9" applyFont="1" applyAlignment="1">
      <alignment horizontal="justify"/>
    </xf>
    <xf numFmtId="0" fontId="74" fillId="0" borderId="0" xfId="9" applyFont="1" applyAlignment="1">
      <alignment horizontal="justify" vertical="justify" wrapText="1"/>
    </xf>
    <xf numFmtId="0" fontId="74" fillId="0" borderId="0" xfId="9" applyFont="1" applyAlignment="1">
      <alignment vertical="center" wrapText="1"/>
    </xf>
    <xf numFmtId="0" fontId="74" fillId="0" borderId="0" xfId="8" applyFont="1" applyAlignment="1">
      <alignment horizontal="left" indent="5"/>
    </xf>
    <xf numFmtId="0" fontId="83" fillId="0" borderId="0" xfId="9" applyFont="1" applyAlignment="1">
      <alignment horizontal="left" indent="5"/>
    </xf>
    <xf numFmtId="0" fontId="74" fillId="0" borderId="0" xfId="9" applyFont="1" applyAlignment="1">
      <alignment horizontal="left" indent="5"/>
    </xf>
    <xf numFmtId="0" fontId="74" fillId="0" borderId="0" xfId="9" applyFont="1" applyAlignment="1">
      <alignment horizontal="left" indent="1"/>
    </xf>
    <xf numFmtId="0" fontId="71" fillId="0" borderId="0" xfId="8" applyFont="1" applyAlignment="1">
      <alignment horizontal="left" indent="3"/>
    </xf>
    <xf numFmtId="0" fontId="85" fillId="0" borderId="0" xfId="0" applyFont="1" applyAlignment="1">
      <alignment horizontal="center" wrapText="1"/>
    </xf>
    <xf numFmtId="0" fontId="86" fillId="0" borderId="0" xfId="0" applyFont="1" applyAlignment="1">
      <alignment horizontal="left" wrapText="1"/>
    </xf>
    <xf numFmtId="0" fontId="20" fillId="0" borderId="8" xfId="0" applyFont="1" applyBorder="1" applyAlignment="1">
      <alignment horizontal="left" wrapText="1"/>
    </xf>
    <xf numFmtId="0" fontId="87" fillId="0" borderId="0" xfId="0" applyFont="1" applyAlignment="1">
      <alignment horizontal="left"/>
    </xf>
    <xf numFmtId="0" fontId="87" fillId="0" borderId="0" xfId="0" applyFont="1" applyAlignment="1">
      <alignment horizontal="left" wrapText="1"/>
    </xf>
    <xf numFmtId="0" fontId="88" fillId="0" borderId="8" xfId="0" applyFont="1" applyBorder="1" applyAlignment="1">
      <alignment horizontal="left" wrapText="1"/>
    </xf>
    <xf numFmtId="0" fontId="88" fillId="0" borderId="0" xfId="0" applyFont="1" applyAlignment="1">
      <alignment horizontal="left" wrapText="1"/>
    </xf>
    <xf numFmtId="176" fontId="87" fillId="0" borderId="0" xfId="0" applyNumberFormat="1" applyFont="1" applyAlignment="1">
      <alignment horizontal="left"/>
    </xf>
    <xf numFmtId="0" fontId="85" fillId="0" borderId="0" xfId="0" applyFont="1" applyAlignment="1">
      <alignment horizontal="left" wrapText="1"/>
    </xf>
    <xf numFmtId="0" fontId="87" fillId="0" borderId="0" xfId="0" applyFont="1"/>
    <xf numFmtId="177" fontId="88" fillId="0" borderId="0" xfId="0" applyNumberFormat="1" applyFont="1" applyAlignment="1">
      <alignment horizontal="left" wrapText="1"/>
    </xf>
    <xf numFmtId="173" fontId="87" fillId="0" borderId="0" xfId="0" applyNumberFormat="1" applyFont="1" applyAlignment="1">
      <alignment wrapText="1"/>
    </xf>
    <xf numFmtId="0" fontId="20" fillId="0" borderId="0" xfId="0" applyFont="1" applyAlignment="1">
      <alignment horizontal="left" wrapText="1"/>
    </xf>
    <xf numFmtId="0" fontId="89" fillId="0" borderId="8" xfId="0" applyFont="1" applyBorder="1" applyAlignment="1">
      <alignment horizontal="left" wrapText="1"/>
    </xf>
    <xf numFmtId="0" fontId="89" fillId="0" borderId="0" xfId="0" applyFont="1" applyAlignment="1">
      <alignment horizontal="left" wrapText="1"/>
    </xf>
    <xf numFmtId="177" fontId="89" fillId="0" borderId="0" xfId="0" applyNumberFormat="1" applyFont="1" applyAlignment="1">
      <alignment horizontal="left" wrapText="1"/>
    </xf>
    <xf numFmtId="176" fontId="87" fillId="0" borderId="0" xfId="0" applyNumberFormat="1" applyFont="1"/>
    <xf numFmtId="0" fontId="11" fillId="0" borderId="5" xfId="0" applyFont="1" applyBorder="1" applyAlignment="1">
      <alignment horizontal="distributed" vertical="top" wrapText="1"/>
    </xf>
    <xf numFmtId="0" fontId="0" fillId="0" borderId="5" xfId="0" applyBorder="1"/>
    <xf numFmtId="0" fontId="51" fillId="0" borderId="0" xfId="0" applyFont="1" applyAlignment="1">
      <alignment horizontal="left" vertical="center" wrapText="1"/>
    </xf>
    <xf numFmtId="0" fontId="0" fillId="0" borderId="0" xfId="0"/>
    <xf numFmtId="0" fontId="9" fillId="0" borderId="11" xfId="0" applyFont="1" applyBorder="1" applyAlignment="1">
      <alignment horizontal="left" vertical="center" wrapText="1" indent="1"/>
    </xf>
    <xf numFmtId="0" fontId="0" fillId="0" borderId="11" xfId="0" applyBorder="1"/>
    <xf numFmtId="0" fontId="7" fillId="0" borderId="5" xfId="0" applyFont="1" applyBorder="1" applyAlignment="1">
      <alignment horizontal="distributed" vertical="top"/>
    </xf>
    <xf numFmtId="0" fontId="2" fillId="0" borderId="0" xfId="0" applyFont="1" applyAlignment="1">
      <alignment horizontal="left" vertical="center" wrapText="1"/>
    </xf>
    <xf numFmtId="0" fontId="2" fillId="0" borderId="5" xfId="0" applyFont="1" applyBorder="1" applyAlignment="1">
      <alignment horizontal="left" vertical="top" wrapText="1"/>
    </xf>
    <xf numFmtId="0" fontId="7" fillId="0" borderId="0" xfId="0" applyFont="1" applyAlignment="1">
      <alignment horizontal="distributed" vertical="justify" wrapText="1"/>
    </xf>
    <xf numFmtId="0" fontId="10" fillId="0" borderId="0" xfId="0" applyFont="1" applyAlignment="1">
      <alignment horizontal="distributed" vertical="top" wrapText="1"/>
    </xf>
    <xf numFmtId="0" fontId="51" fillId="0" borderId="0" xfId="0" applyFont="1" applyAlignment="1">
      <alignment horizontal="left" vertical="top" wrapText="1"/>
    </xf>
    <xf numFmtId="172" fontId="51" fillId="0" borderId="0" xfId="0" applyNumberFormat="1" applyFont="1" applyAlignment="1">
      <alignment horizontal="center"/>
    </xf>
    <xf numFmtId="0" fontId="2" fillId="0" borderId="0" xfId="0" applyFont="1" applyAlignment="1">
      <alignment vertical="center" wrapText="1"/>
    </xf>
    <xf numFmtId="0" fontId="10" fillId="0" borderId="0" xfId="0" applyFont="1" applyAlignment="1">
      <alignment horizontal="left" vertical="top" wrapText="1"/>
    </xf>
    <xf numFmtId="0" fontId="6" fillId="0" borderId="0" xfId="0" applyFont="1" applyAlignment="1">
      <alignment horizontal="left" vertical="center" wrapText="1"/>
    </xf>
    <xf numFmtId="0" fontId="11" fillId="0" borderId="5" xfId="0" applyFont="1" applyBorder="1" applyAlignment="1">
      <alignment horizontal="distributed" vertical="top"/>
    </xf>
    <xf numFmtId="0" fontId="7" fillId="0" borderId="11" xfId="0" applyFont="1" applyBorder="1" applyAlignment="1">
      <alignment horizontal="center" vertical="justify" wrapText="1"/>
    </xf>
    <xf numFmtId="0" fontId="7" fillId="0" borderId="0" xfId="0" applyFont="1" applyAlignment="1">
      <alignment horizontal="distributed" vertical="top" wrapText="1"/>
    </xf>
    <xf numFmtId="0" fontId="11" fillId="0" borderId="0" xfId="0" applyFont="1" applyAlignment="1">
      <alignment horizontal="left" vertical="top" wrapText="1"/>
    </xf>
    <xf numFmtId="0" fontId="10" fillId="0" borderId="0" xfId="0" applyFont="1" applyAlignment="1">
      <alignment horizontal="center" wrapText="1"/>
    </xf>
    <xf numFmtId="0" fontId="6" fillId="0" borderId="0" xfId="0" applyFont="1" applyAlignment="1">
      <alignment horizontal="left" vertical="top"/>
    </xf>
    <xf numFmtId="178" fontId="51" fillId="0" borderId="0" xfId="0" applyNumberFormat="1" applyFont="1" applyAlignment="1">
      <alignment horizontal="center"/>
    </xf>
    <xf numFmtId="0" fontId="8" fillId="0" borderId="15" xfId="0" applyFont="1" applyBorder="1" applyAlignment="1">
      <alignment horizontal="left" vertical="top" wrapText="1"/>
    </xf>
    <xf numFmtId="0" fontId="0" fillId="0" borderId="9" xfId="0" applyBorder="1"/>
    <xf numFmtId="0" fontId="0" fillId="0" borderId="8" xfId="0" applyBorder="1"/>
    <xf numFmtId="0" fontId="0" fillId="0" borderId="3" xfId="0" applyBorder="1"/>
    <xf numFmtId="0" fontId="0" fillId="0" borderId="10" xfId="0" applyBorder="1"/>
    <xf numFmtId="0" fontId="0" fillId="0" borderId="12" xfId="0" applyBorder="1"/>
    <xf numFmtId="0" fontId="7" fillId="0" borderId="0" xfId="0" applyFont="1" applyAlignment="1">
      <alignment horizontal="left" vertical="top" wrapText="1"/>
    </xf>
    <xf numFmtId="0" fontId="18" fillId="0" borderId="9" xfId="2" applyFont="1" applyBorder="1" applyAlignment="1">
      <alignment horizontal="left" wrapText="1"/>
    </xf>
    <xf numFmtId="0" fontId="7" fillId="0" borderId="0" xfId="2" applyAlignment="1">
      <alignment horizontal="left" vertical="top"/>
    </xf>
    <xf numFmtId="0" fontId="7" fillId="0" borderId="3" xfId="2" applyBorder="1" applyAlignment="1">
      <alignment horizontal="center" vertical="top" wrapText="1"/>
    </xf>
    <xf numFmtId="0" fontId="15" fillId="0" borderId="9" xfId="2" applyFont="1" applyBorder="1" applyAlignment="1">
      <alignment horizontal="left" wrapText="1"/>
    </xf>
    <xf numFmtId="0" fontId="15" fillId="0" borderId="13" xfId="2" applyFont="1" applyBorder="1" applyAlignment="1">
      <alignment horizontal="left" wrapText="1"/>
    </xf>
    <xf numFmtId="0" fontId="0" fillId="0" borderId="1" xfId="0" applyBorder="1"/>
    <xf numFmtId="0" fontId="0" fillId="0" borderId="13" xfId="0" applyBorder="1"/>
    <xf numFmtId="0" fontId="18" fillId="0" borderId="0" xfId="2" applyFont="1" applyAlignment="1">
      <alignment horizontal="left" vertical="justify" wrapText="1" indent="1"/>
    </xf>
    <xf numFmtId="0" fontId="16" fillId="0" borderId="5" xfId="2" applyFont="1" applyBorder="1" applyAlignment="1">
      <alignment horizontal="left" wrapText="1"/>
    </xf>
    <xf numFmtId="0" fontId="15" fillId="0" borderId="3" xfId="2" applyFont="1" applyBorder="1" applyAlignment="1">
      <alignment horizontal="left" wrapText="1"/>
    </xf>
    <xf numFmtId="0" fontId="14" fillId="0" borderId="0" xfId="2" applyFont="1" applyAlignment="1">
      <alignment horizontal="center" wrapText="1"/>
    </xf>
    <xf numFmtId="0" fontId="15" fillId="0" borderId="5" xfId="2" applyFont="1" applyBorder="1" applyAlignment="1">
      <alignment horizontal="left" wrapText="1"/>
    </xf>
    <xf numFmtId="0" fontId="17" fillId="0" borderId="3" xfId="2" applyFont="1" applyBorder="1" applyAlignment="1">
      <alignment horizontal="center" vertical="top" wrapText="1"/>
    </xf>
    <xf numFmtId="0" fontId="18" fillId="0" borderId="3" xfId="2" applyFont="1" applyBorder="1" applyAlignment="1">
      <alignment horizontal="center" vertical="top"/>
    </xf>
    <xf numFmtId="0" fontId="15" fillId="0" borderId="11" xfId="2" applyFont="1" applyBorder="1" applyAlignment="1">
      <alignment horizontal="justify" vertical="top" wrapText="1"/>
    </xf>
    <xf numFmtId="0" fontId="40" fillId="0" borderId="27" xfId="4" applyFont="1" applyBorder="1" applyAlignment="1">
      <alignment horizontal="center" vertical="top"/>
    </xf>
    <xf numFmtId="0" fontId="0" fillId="0" borderId="22" xfId="0" applyBorder="1"/>
    <xf numFmtId="0" fontId="0" fillId="0" borderId="23" xfId="0" applyBorder="1"/>
    <xf numFmtId="0" fontId="34" fillId="0" borderId="19" xfId="5" applyFont="1" applyBorder="1" applyAlignment="1">
      <alignment horizontal="center"/>
    </xf>
    <xf numFmtId="0" fontId="26" fillId="0" borderId="20" xfId="4" applyFont="1" applyBorder="1" applyAlignment="1">
      <alignment horizontal="left" vertical="center" wrapText="1" indent="1"/>
    </xf>
    <xf numFmtId="0" fontId="26" fillId="0" borderId="0" xfId="4" applyFont="1"/>
    <xf numFmtId="0" fontId="26" fillId="0" borderId="0" xfId="4" applyFont="1" applyAlignment="1">
      <alignment horizontal="left"/>
    </xf>
    <xf numFmtId="0" fontId="26" fillId="0" borderId="20" xfId="4" applyFont="1" applyBorder="1" applyAlignment="1">
      <alignment horizontal="left" vertical="top" wrapText="1" indent="1"/>
    </xf>
    <xf numFmtId="0" fontId="40" fillId="0" borderId="27" xfId="4" applyFont="1" applyBorder="1" applyAlignment="1">
      <alignment horizontal="center"/>
    </xf>
    <xf numFmtId="0" fontId="37" fillId="0" borderId="20" xfId="4" applyFont="1" applyBorder="1" applyAlignment="1">
      <alignment horizontal="center" vertical="center" wrapText="1"/>
    </xf>
    <xf numFmtId="0" fontId="26" fillId="0" borderId="0" xfId="4" applyFont="1" applyAlignment="1">
      <alignment vertical="center"/>
    </xf>
    <xf numFmtId="0" fontId="26" fillId="0" borderId="20" xfId="4" applyFont="1" applyBorder="1" applyAlignment="1">
      <alignment horizontal="left" vertical="center"/>
    </xf>
    <xf numFmtId="0" fontId="26" fillId="0" borderId="5" xfId="4" applyFont="1" applyBorder="1" applyAlignment="1">
      <alignment horizontal="left"/>
    </xf>
    <xf numFmtId="0" fontId="27" fillId="0" borderId="19" xfId="4" applyFont="1" applyBorder="1" applyAlignment="1">
      <alignment horizontal="left" vertical="center" wrapText="1"/>
    </xf>
    <xf numFmtId="0" fontId="26" fillId="0" borderId="20" xfId="4" applyFont="1" applyBorder="1" applyAlignment="1">
      <alignment horizontal="distributed" vertical="center"/>
    </xf>
    <xf numFmtId="0" fontId="45" fillId="0" borderId="21" xfId="4" applyFont="1" applyBorder="1" applyAlignment="1">
      <alignment horizontal="center" vertical="center"/>
    </xf>
    <xf numFmtId="0" fontId="45" fillId="0" borderId="28" xfId="4" applyFont="1" applyBorder="1" applyAlignment="1">
      <alignment horizontal="center" vertical="top"/>
    </xf>
    <xf numFmtId="0" fontId="0" fillId="0" borderId="25" xfId="0" applyBorder="1"/>
    <xf numFmtId="0" fontId="0" fillId="0" borderId="26" xfId="0" applyBorder="1"/>
    <xf numFmtId="0" fontId="39" fillId="0" borderId="20" xfId="4" applyFont="1" applyBorder="1" applyAlignment="1">
      <alignment horizontal="center"/>
    </xf>
    <xf numFmtId="171" fontId="26" fillId="0" borderId="0" xfId="6" applyNumberFormat="1" applyFont="1" applyAlignment="1">
      <alignment horizontal="right"/>
    </xf>
    <xf numFmtId="0" fontId="43" fillId="0" borderId="5" xfId="4" applyFont="1" applyBorder="1" applyAlignment="1">
      <alignment horizontal="left"/>
    </xf>
    <xf numFmtId="0" fontId="47" fillId="0" borderId="5" xfId="4" applyFont="1" applyBorder="1" applyAlignment="1">
      <alignment horizontal="left"/>
    </xf>
    <xf numFmtId="179" fontId="40" fillId="0" borderId="27" xfId="4" applyNumberFormat="1" applyFont="1" applyBorder="1" applyAlignment="1">
      <alignment horizontal="center"/>
    </xf>
    <xf numFmtId="172" fontId="40" fillId="0" borderId="27" xfId="4" applyNumberFormat="1" applyFont="1" applyBorder="1" applyAlignment="1">
      <alignment horizontal="center"/>
    </xf>
    <xf numFmtId="0" fontId="34" fillId="0" borderId="20" xfId="5" applyFont="1" applyBorder="1" applyAlignment="1">
      <alignment horizontal="center"/>
    </xf>
    <xf numFmtId="0" fontId="30" fillId="0" borderId="15" xfId="4" applyFont="1" applyBorder="1" applyAlignment="1">
      <alignment vertical="top" wrapText="1"/>
    </xf>
    <xf numFmtId="0" fontId="0" fillId="0" borderId="18" xfId="0" applyBorder="1"/>
    <xf numFmtId="0" fontId="36" fillId="0" borderId="20" xfId="4" applyFont="1" applyBorder="1" applyAlignment="1">
      <alignment horizontal="center"/>
    </xf>
    <xf numFmtId="0" fontId="12" fillId="0" borderId="20" xfId="4" quotePrefix="1" applyFont="1" applyBorder="1" applyAlignment="1">
      <alignment horizontal="center" wrapText="1"/>
    </xf>
    <xf numFmtId="49" fontId="50" fillId="0" borderId="29" xfId="7" applyNumberFormat="1" applyFont="1" applyBorder="1" applyAlignment="1">
      <alignment horizontal="left" vertical="center"/>
    </xf>
    <xf numFmtId="0" fontId="50" fillId="0" borderId="0" xfId="7" applyFont="1" applyAlignment="1">
      <alignment horizontal="center" vertical="center"/>
    </xf>
    <xf numFmtId="0" fontId="48" fillId="0" borderId="0" xfId="7" applyAlignment="1">
      <alignment horizontal="left" vertical="top"/>
    </xf>
    <xf numFmtId="0" fontId="53" fillId="0" borderId="0" xfId="7" applyFont="1" applyAlignment="1">
      <alignment horizontal="center" vertical="justify" wrapText="1"/>
    </xf>
    <xf numFmtId="180" fontId="50" fillId="0" borderId="0" xfId="7" applyNumberFormat="1" applyFont="1" applyAlignment="1">
      <alignment horizontal="center" vertical="center"/>
    </xf>
    <xf numFmtId="0" fontId="14" fillId="0" borderId="0" xfId="7" applyFont="1" applyAlignment="1">
      <alignment horizontal="center" wrapText="1"/>
    </xf>
    <xf numFmtId="0" fontId="50" fillId="0" borderId="0" xfId="7" applyFont="1" applyAlignment="1">
      <alignment horizontal="center"/>
    </xf>
    <xf numFmtId="0" fontId="61" fillId="0" borderId="5" xfId="7" applyFont="1" applyBorder="1" applyAlignment="1">
      <alignment horizontal="center"/>
    </xf>
    <xf numFmtId="0" fontId="54" fillId="0" borderId="0" xfId="7" applyFont="1" applyAlignment="1">
      <alignment horizontal="center" vertical="center" wrapText="1"/>
    </xf>
    <xf numFmtId="0" fontId="50" fillId="0" borderId="29" xfId="7" applyFont="1" applyBorder="1" applyAlignment="1">
      <alignment horizontal="left" vertical="center" indent="3"/>
    </xf>
    <xf numFmtId="172" fontId="50" fillId="0" borderId="0" xfId="7" applyNumberFormat="1" applyFont="1" applyAlignment="1">
      <alignment horizontal="center"/>
    </xf>
    <xf numFmtId="0" fontId="50" fillId="0" borderId="29" xfId="7" applyFont="1" applyBorder="1" applyAlignment="1">
      <alignment horizontal="left" vertical="center" indent="6"/>
    </xf>
    <xf numFmtId="0" fontId="10" fillId="0" borderId="0" xfId="7" applyFont="1" applyAlignment="1">
      <alignment horizontal="center" vertical="center"/>
    </xf>
    <xf numFmtId="0" fontId="49" fillId="0" borderId="5" xfId="7" applyFont="1" applyBorder="1" applyAlignment="1">
      <alignment horizontal="left" wrapText="1"/>
    </xf>
    <xf numFmtId="0" fontId="59" fillId="0" borderId="0" xfId="7" applyFont="1" applyAlignment="1">
      <alignment horizontal="center" wrapText="1"/>
    </xf>
    <xf numFmtId="0" fontId="57" fillId="0" borderId="5" xfId="7" applyFont="1" applyBorder="1" applyAlignment="1">
      <alignment horizontal="left" wrapText="1"/>
    </xf>
    <xf numFmtId="0" fontId="56" fillId="0" borderId="0" xfId="7" applyFont="1" applyAlignment="1">
      <alignment horizontal="center" vertical="center" wrapText="1"/>
    </xf>
    <xf numFmtId="0" fontId="74" fillId="0" borderId="0" xfId="8" applyFont="1" applyAlignment="1">
      <alignment horizontal="justify" vertical="justify" wrapText="1"/>
    </xf>
    <xf numFmtId="0" fontId="78" fillId="0" borderId="0" xfId="8" applyFont="1" applyAlignment="1">
      <alignment vertical="center"/>
    </xf>
    <xf numFmtId="0" fontId="73" fillId="0" borderId="0" xfId="8" applyFont="1" applyAlignment="1">
      <alignment horizontal="center" vertical="center" wrapText="1"/>
    </xf>
    <xf numFmtId="0" fontId="72" fillId="0" borderId="0" xfId="8" applyFont="1" applyAlignment="1">
      <alignment vertical="center"/>
    </xf>
    <xf numFmtId="0" fontId="71" fillId="0" borderId="0" xfId="8" applyFont="1" applyAlignment="1">
      <alignment horizontal="center" vertical="center" wrapText="1"/>
    </xf>
    <xf numFmtId="0" fontId="75" fillId="0" borderId="0" xfId="8" applyFont="1" applyAlignment="1">
      <alignment horizontal="justify" vertical="top" wrapText="1"/>
    </xf>
    <xf numFmtId="0" fontId="75" fillId="0" borderId="0" xfId="8" applyFont="1"/>
    <xf numFmtId="181" fontId="76" fillId="0" borderId="0" xfId="8" applyNumberFormat="1" applyFont="1" applyAlignment="1">
      <alignment horizontal="center" vertical="center" wrapText="1"/>
    </xf>
    <xf numFmtId="0" fontId="71" fillId="0" borderId="0" xfId="8" applyFont="1" applyAlignment="1">
      <alignment horizontal="center" vertical="top" wrapText="1"/>
    </xf>
    <xf numFmtId="182" fontId="74" fillId="0" borderId="0" xfId="9" applyNumberFormat="1" applyFont="1" applyAlignment="1">
      <alignment horizontal="distributed"/>
    </xf>
    <xf numFmtId="0" fontId="78" fillId="0" borderId="0" xfId="8" applyFont="1" applyAlignment="1">
      <alignment vertical="center" wrapText="1"/>
    </xf>
    <xf numFmtId="0" fontId="74" fillId="0" borderId="0" xfId="8" applyFont="1" applyAlignment="1">
      <alignment horizontal="center" vertical="center" wrapText="1"/>
    </xf>
    <xf numFmtId="0" fontId="71" fillId="0" borderId="0" xfId="8" applyFont="1" applyAlignment="1">
      <alignment horizontal="center" vertical="center"/>
    </xf>
    <xf numFmtId="0" fontId="76" fillId="0" borderId="0" xfId="8" applyFont="1" applyAlignment="1">
      <alignment horizontal="center" wrapText="1"/>
    </xf>
    <xf numFmtId="0" fontId="80" fillId="0" borderId="0" xfId="9" applyFont="1" applyAlignment="1">
      <alignment horizontal="center"/>
    </xf>
    <xf numFmtId="0" fontId="83" fillId="0" borderId="0" xfId="9" applyFont="1"/>
    <xf numFmtId="0" fontId="83" fillId="0" borderId="0" xfId="9" applyFont="1" applyAlignment="1">
      <alignment horizontal="center"/>
    </xf>
    <xf numFmtId="0" fontId="74" fillId="0" borderId="0" xfId="9" applyFont="1" applyAlignment="1">
      <alignment horizontal="justify" vertical="justify" wrapText="1"/>
    </xf>
    <xf numFmtId="184" fontId="74" fillId="0" borderId="0" xfId="9" applyNumberFormat="1" applyFont="1" applyAlignment="1">
      <alignment horizontal="distributed" vertical="center"/>
    </xf>
    <xf numFmtId="0" fontId="79" fillId="0" borderId="0" xfId="9" applyFont="1" applyAlignment="1">
      <alignment horizontal="center"/>
    </xf>
    <xf numFmtId="0" fontId="74" fillId="0" borderId="0" xfId="9" applyFont="1" applyAlignment="1">
      <alignment horizontal="left" indent="5"/>
    </xf>
    <xf numFmtId="0" fontId="71" fillId="0" borderId="0" xfId="9" applyFont="1" applyAlignment="1">
      <alignment horizontal="center"/>
    </xf>
    <xf numFmtId="181" fontId="83" fillId="0" borderId="0" xfId="8" applyNumberFormat="1" applyFont="1" applyAlignment="1">
      <alignment horizontal="center" wrapText="1"/>
    </xf>
    <xf numFmtId="0" fontId="76" fillId="0" borderId="0" xfId="9" applyFont="1" applyAlignment="1">
      <alignment horizontal="center"/>
    </xf>
    <xf numFmtId="0" fontId="79" fillId="0" borderId="0" xfId="8" applyFont="1" applyAlignment="1">
      <alignment horizontal="center" vertical="center" wrapText="1"/>
    </xf>
    <xf numFmtId="0" fontId="82" fillId="0" borderId="0" xfId="9" applyFont="1"/>
    <xf numFmtId="183" fontId="74" fillId="0" borderId="0" xfId="9" applyNumberFormat="1" applyFont="1" applyAlignment="1">
      <alignment horizontal="left"/>
    </xf>
    <xf numFmtId="0" fontId="7" fillId="0" borderId="0" xfId="0" applyFont="1" applyAlignment="1">
      <alignment horizontal="center" vertical="justify" wrapText="1"/>
    </xf>
    <xf numFmtId="0" fontId="9" fillId="0" borderId="0" xfId="0" applyFont="1" applyAlignment="1">
      <alignment horizontal="left" vertical="center" wrapText="1" indent="1"/>
    </xf>
    <xf numFmtId="0" fontId="0" fillId="2" borderId="0" xfId="0" applyFill="1" applyAlignment="1">
      <alignment horizontal="left" vertical="top"/>
    </xf>
  </cellXfs>
  <cellStyles count="11">
    <cellStyle name="Comma 2" xfId="6" xr:uid="{00000000-0005-0000-0000-000006000000}"/>
    <cellStyle name="Normal" xfId="0" builtinId="0"/>
    <cellStyle name="Normal - Style1 2 2" xfId="9" xr:uid="{00000000-0005-0000-0000-000009000000}"/>
    <cellStyle name="Normal 2" xfId="1" xr:uid="{00000000-0005-0000-0000-000001000000}"/>
    <cellStyle name="Normal 2 2" xfId="3" xr:uid="{00000000-0005-0000-0000-000003000000}"/>
    <cellStyle name="Normal 3" xfId="2" xr:uid="{00000000-0005-0000-0000-000002000000}"/>
    <cellStyle name="Normal 4" xfId="5" xr:uid="{00000000-0005-0000-0000-000005000000}"/>
    <cellStyle name="Normal 5" xfId="7" xr:uid="{00000000-0005-0000-0000-000007000000}"/>
    <cellStyle name="Normal_141714 2 2" xfId="8" xr:uid="{00000000-0005-0000-0000-000008000000}"/>
    <cellStyle name="Normal_CO (UK)100(06.08.02)" xfId="4" xr:uid="{00000000-0005-0000-0000-000004000000}"/>
    <cellStyle name="Normal_DON XIN FORM A 2" xfId="10" xr:uid="{00000000-0005-0000-0000-00000A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62</xdr:row>
          <xdr:rowOff>123825</xdr:rowOff>
        </xdr:from>
        <xdr:to>
          <xdr:col>1</xdr:col>
          <xdr:colOff>209550</xdr:colOff>
          <xdr:row>64</xdr:row>
          <xdr:rowOff>47625</xdr:rowOff>
        </xdr:to>
        <xdr:sp macro="" textlink="">
          <xdr:nvSpPr>
            <xdr:cNvPr id="1025" name="Check Box 1" descr="Third Country Invoicing" hidden="1">
              <a:extLst>
                <a:ext uri="{63B3BB69-23CF-44E3-9099-C40C66FF867C}">
                  <a14:compatExt spid="_x0000_s1025"/>
                </a:ext>
                <a:ext uri="{FF2B5EF4-FFF2-40B4-BE49-F238E27FC236}">
                  <a16:creationId xmlns:a16="http://schemas.microsoft.com/office/drawing/2014/main" id="{F2495D30-9928-56BC-1C1F-7274E053F5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914400</xdr:colOff>
          <xdr:row>2</xdr:row>
          <xdr:rowOff>114300</xdr:rowOff>
        </xdr:from>
        <xdr:to>
          <xdr:col>2</xdr:col>
          <xdr:colOff>438150</xdr:colOff>
          <xdr:row>5</xdr:row>
          <xdr:rowOff>38100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4074CB91-D4AE-A51E-E641-AA739D4C0286}"/>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vi-VN" sz="1500" b="1" i="0" u="none" strike="noStrike" baseline="0">
                  <a:solidFill>
                    <a:srgbClr val="000000"/>
                  </a:solidFill>
                  <a:latin typeface="Segoe UI"/>
                  <a:cs typeface="Segoe UI"/>
                </a:rPr>
                <a:t>Xử lý dữ liệu</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8.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U65"/>
  <sheetViews>
    <sheetView tabSelected="1" view="pageBreakPreview" topLeftCell="A13" zoomScale="145" zoomScaleNormal="100" zoomScaleSheetLayoutView="145" workbookViewId="0">
      <selection activeCell="AD25" sqref="AD25"/>
    </sheetView>
  </sheetViews>
  <sheetFormatPr defaultColWidth="9" defaultRowHeight="12.75"/>
  <cols>
    <col min="1" max="1" width="1.5" style="78" customWidth="1"/>
    <col min="2" max="2" width="8.1640625" style="78" customWidth="1"/>
    <col min="3" max="4" width="1.5" style="78" customWidth="1"/>
    <col min="5" max="5" width="4.83203125" style="78" customWidth="1"/>
    <col min="6" max="6" width="3.83203125" style="78" customWidth="1"/>
    <col min="7" max="7" width="33.33203125" style="78" customWidth="1"/>
    <col min="8" max="9" width="1.5" style="78" customWidth="1"/>
    <col min="10" max="10" width="5.6640625" style="78" customWidth="1"/>
    <col min="11" max="12" width="1.5" style="78" customWidth="1"/>
    <col min="13" max="13" width="11.83203125" style="78" customWidth="1"/>
    <col min="14" max="15" width="1.5" style="78" customWidth="1"/>
    <col min="16" max="16" width="13.6640625" style="78" customWidth="1"/>
    <col min="17" max="18" width="1.5" style="78" customWidth="1"/>
    <col min="19" max="19" width="18.83203125" style="78" customWidth="1"/>
    <col min="20" max="20" width="1.5" style="78" customWidth="1"/>
    <col min="21" max="21" width="1.33203125" style="78" customWidth="1"/>
  </cols>
  <sheetData>
    <row r="2" spans="1:20" ht="12" customHeight="1">
      <c r="A2" s="17"/>
      <c r="B2" s="434" t="s">
        <v>0</v>
      </c>
      <c r="C2" s="435"/>
      <c r="D2" s="435"/>
      <c r="E2" s="435"/>
      <c r="F2" s="435"/>
      <c r="G2" s="435"/>
      <c r="H2" s="40"/>
      <c r="I2" s="457" t="s">
        <v>1</v>
      </c>
      <c r="J2" s="435"/>
      <c r="K2" s="435"/>
      <c r="L2" s="435"/>
      <c r="M2" s="435"/>
      <c r="N2" s="435"/>
      <c r="O2" s="435"/>
      <c r="P2" s="435"/>
      <c r="Q2" s="435"/>
      <c r="R2" s="435"/>
      <c r="S2" s="435"/>
      <c r="T2" s="458"/>
    </row>
    <row r="3" spans="1:20" ht="14.25" customHeight="1">
      <c r="A3" s="6"/>
      <c r="B3" s="449" t="s">
        <v>2</v>
      </c>
      <c r="C3" s="437"/>
      <c r="D3" s="437"/>
      <c r="E3" s="437"/>
      <c r="F3" s="437"/>
      <c r="G3" s="437"/>
      <c r="H3" s="16"/>
      <c r="I3" s="459"/>
      <c r="J3" s="437"/>
      <c r="K3" s="437"/>
      <c r="L3" s="437"/>
      <c r="M3" s="437"/>
      <c r="N3" s="437"/>
      <c r="O3" s="437"/>
      <c r="P3" s="437"/>
      <c r="Q3" s="437"/>
      <c r="R3" s="437"/>
      <c r="S3" s="437"/>
      <c r="T3" s="460"/>
    </row>
    <row r="4" spans="1:20" ht="3.75" customHeight="1">
      <c r="A4" s="6"/>
      <c r="B4" s="62"/>
      <c r="C4" s="62"/>
      <c r="D4" s="62"/>
      <c r="E4" s="62"/>
      <c r="F4" s="62"/>
      <c r="G4" s="62"/>
      <c r="H4" s="16"/>
      <c r="I4" s="461"/>
      <c r="J4" s="439"/>
      <c r="K4" s="439"/>
      <c r="L4" s="439"/>
      <c r="M4" s="439"/>
      <c r="N4" s="439"/>
      <c r="O4" s="439"/>
      <c r="P4" s="439"/>
      <c r="Q4" s="439"/>
      <c r="R4" s="439"/>
      <c r="S4" s="439"/>
      <c r="T4" s="462"/>
    </row>
    <row r="5" spans="1:20" ht="3.75" customHeight="1">
      <c r="A5" s="6"/>
      <c r="B5" s="436" t="s">
        <v>3</v>
      </c>
      <c r="C5" s="437"/>
      <c r="D5" s="437"/>
      <c r="E5" s="437"/>
      <c r="F5" s="437"/>
      <c r="G5" s="437"/>
      <c r="H5" s="16"/>
      <c r="I5" s="60"/>
      <c r="J5" s="64"/>
      <c r="K5" s="63"/>
      <c r="L5" s="63"/>
      <c r="M5" s="63"/>
      <c r="N5" s="63"/>
      <c r="O5" s="63"/>
      <c r="P5" s="63"/>
      <c r="Q5" s="63"/>
      <c r="R5" s="63"/>
      <c r="S5" s="63"/>
      <c r="T5" s="65"/>
    </row>
    <row r="6" spans="1:20" ht="72.75" customHeight="1">
      <c r="A6" s="6"/>
      <c r="B6" s="437"/>
      <c r="C6" s="437"/>
      <c r="D6" s="437"/>
      <c r="E6" s="437"/>
      <c r="F6" s="437"/>
      <c r="G6" s="437"/>
      <c r="H6" s="16"/>
      <c r="I6" s="42"/>
      <c r="J6" s="553" t="s">
        <v>494</v>
      </c>
      <c r="K6" s="553"/>
      <c r="L6" s="553"/>
      <c r="M6" s="553"/>
      <c r="N6" s="553"/>
      <c r="O6" s="553"/>
      <c r="P6" s="553"/>
      <c r="Q6" s="553"/>
      <c r="R6" s="553"/>
      <c r="S6" s="553"/>
      <c r="T6" s="49"/>
    </row>
    <row r="7" spans="1:20" ht="4.5" customHeight="1">
      <c r="A7" s="6"/>
      <c r="H7" s="41"/>
      <c r="I7" s="6"/>
      <c r="J7" s="553"/>
      <c r="K7" s="553"/>
      <c r="L7" s="553"/>
      <c r="M7" s="553"/>
      <c r="N7" s="553"/>
      <c r="O7" s="553"/>
      <c r="P7" s="553"/>
      <c r="Q7" s="553"/>
      <c r="R7" s="553"/>
      <c r="S7" s="553"/>
      <c r="T7" s="23"/>
    </row>
    <row r="8" spans="1:20" ht="12" customHeight="1">
      <c r="A8" s="17"/>
      <c r="B8" s="440" t="s">
        <v>496</v>
      </c>
      <c r="C8" s="435"/>
      <c r="D8" s="435"/>
      <c r="E8" s="435"/>
      <c r="F8" s="435"/>
      <c r="G8" s="435"/>
      <c r="H8" s="10"/>
      <c r="I8" s="43"/>
      <c r="J8" s="553"/>
      <c r="K8" s="553"/>
      <c r="L8" s="553"/>
      <c r="M8" s="553"/>
      <c r="N8" s="553"/>
      <c r="O8" s="553"/>
      <c r="P8" s="553"/>
      <c r="Q8" s="553"/>
      <c r="R8" s="553"/>
      <c r="S8" s="553"/>
      <c r="T8" s="49"/>
    </row>
    <row r="9" spans="1:20" ht="15.75" customHeight="1">
      <c r="A9" s="6"/>
      <c r="B9" s="449" t="s">
        <v>4</v>
      </c>
      <c r="C9" s="437"/>
      <c r="D9" s="437"/>
      <c r="E9" s="437"/>
      <c r="F9" s="437"/>
      <c r="G9" s="437"/>
      <c r="H9" s="11"/>
      <c r="I9" s="43"/>
      <c r="J9" s="553"/>
      <c r="K9" s="553"/>
      <c r="L9" s="553"/>
      <c r="M9" s="553"/>
      <c r="N9" s="553"/>
      <c r="O9" s="553"/>
      <c r="P9" s="553"/>
      <c r="Q9" s="553"/>
      <c r="R9" s="553"/>
      <c r="S9" s="553"/>
      <c r="T9" s="49"/>
    </row>
    <row r="10" spans="1:20" ht="13.5" customHeight="1">
      <c r="A10" s="6"/>
      <c r="B10" s="372" t="s">
        <v>5</v>
      </c>
      <c r="H10" s="12"/>
      <c r="I10" s="44"/>
      <c r="J10" s="553"/>
      <c r="K10" s="553"/>
      <c r="L10" s="553"/>
      <c r="M10" s="553"/>
      <c r="N10" s="553"/>
      <c r="O10" s="553"/>
      <c r="P10" s="553"/>
      <c r="Q10" s="553"/>
      <c r="R10" s="553"/>
      <c r="S10" s="553"/>
      <c r="T10" s="49"/>
    </row>
    <row r="11" spans="1:20" ht="13.5" customHeight="1">
      <c r="A11" s="6"/>
      <c r="B11" s="368" t="s">
        <v>6</v>
      </c>
      <c r="H11" s="13"/>
      <c r="I11" s="66"/>
      <c r="J11" s="451"/>
      <c r="K11" s="451"/>
      <c r="L11" s="451"/>
      <c r="M11" s="451"/>
      <c r="N11" s="451"/>
      <c r="O11" s="451"/>
      <c r="P11" s="451"/>
      <c r="Q11" s="451"/>
      <c r="R11" s="451"/>
      <c r="S11" s="451"/>
      <c r="T11" s="67"/>
    </row>
    <row r="12" spans="1:20" ht="13.5" customHeight="1">
      <c r="A12" s="6"/>
      <c r="B12" s="368" t="s">
        <v>7</v>
      </c>
      <c r="H12" s="13"/>
      <c r="I12" s="26"/>
      <c r="J12" s="442" t="s">
        <v>8</v>
      </c>
      <c r="K12" s="435"/>
      <c r="L12" s="435"/>
      <c r="M12" s="435"/>
      <c r="N12" s="435"/>
      <c r="O12" s="435"/>
      <c r="P12" s="435"/>
      <c r="Q12" s="435"/>
      <c r="R12" s="435"/>
      <c r="S12" s="435"/>
      <c r="T12" s="48"/>
    </row>
    <row r="13" spans="1:20" ht="13.5" customHeight="1">
      <c r="A13" s="6"/>
      <c r="B13" s="368" t="s">
        <v>9</v>
      </c>
      <c r="H13" s="13"/>
      <c r="I13" s="45"/>
      <c r="J13" s="554" t="s">
        <v>495</v>
      </c>
      <c r="K13" s="554"/>
      <c r="L13" s="554"/>
      <c r="M13" s="554"/>
      <c r="N13" s="554"/>
      <c r="O13" s="554"/>
      <c r="P13" s="554"/>
      <c r="Q13" s="554"/>
      <c r="R13" s="554"/>
      <c r="S13" s="554"/>
      <c r="T13" s="61"/>
    </row>
    <row r="14" spans="1:20" ht="13.5" customHeight="1">
      <c r="A14" s="6"/>
      <c r="B14" s="368" t="s">
        <v>10</v>
      </c>
      <c r="H14" s="13"/>
      <c r="I14" s="45"/>
      <c r="J14" s="554"/>
      <c r="K14" s="554"/>
      <c r="L14" s="554"/>
      <c r="M14" s="554"/>
      <c r="N14" s="554"/>
      <c r="O14" s="554"/>
      <c r="P14" s="554"/>
      <c r="Q14" s="554"/>
      <c r="R14" s="554"/>
      <c r="S14" s="554"/>
      <c r="T14" s="61"/>
    </row>
    <row r="15" spans="1:20" ht="13.5" customHeight="1">
      <c r="A15" s="7"/>
      <c r="B15" s="8"/>
      <c r="C15" s="8"/>
      <c r="D15" s="8"/>
      <c r="E15" s="8"/>
      <c r="F15" s="8"/>
      <c r="G15" s="8"/>
      <c r="H15" s="8"/>
      <c r="I15" s="45"/>
      <c r="J15" s="554"/>
      <c r="K15" s="554"/>
      <c r="L15" s="554"/>
      <c r="M15" s="554"/>
      <c r="N15" s="554"/>
      <c r="O15" s="554"/>
      <c r="P15" s="554"/>
      <c r="Q15" s="554"/>
      <c r="R15" s="554"/>
      <c r="S15" s="554"/>
      <c r="T15" s="61"/>
    </row>
    <row r="16" spans="1:20" ht="12" customHeight="1">
      <c r="A16" s="17"/>
      <c r="B16" s="442" t="s">
        <v>11</v>
      </c>
      <c r="C16" s="435"/>
      <c r="D16" s="435"/>
      <c r="E16" s="435"/>
      <c r="F16" s="435"/>
      <c r="G16" s="435"/>
      <c r="H16" s="28"/>
      <c r="I16" s="46"/>
      <c r="J16" s="438"/>
      <c r="K16" s="438"/>
      <c r="L16" s="438"/>
      <c r="M16" s="438"/>
      <c r="N16" s="438"/>
      <c r="O16" s="438"/>
      <c r="P16" s="438"/>
      <c r="Q16" s="438"/>
      <c r="R16" s="438"/>
      <c r="S16" s="438"/>
      <c r="T16" s="47"/>
    </row>
    <row r="17" spans="1:20" ht="12" customHeight="1">
      <c r="A17" s="35"/>
      <c r="B17" s="449" t="s">
        <v>12</v>
      </c>
      <c r="C17" s="437"/>
      <c r="D17" s="437"/>
      <c r="E17" s="437"/>
      <c r="F17" s="437"/>
      <c r="G17" s="366"/>
      <c r="H17" s="18"/>
      <c r="I17" s="26"/>
      <c r="J17" s="450" t="s">
        <v>13</v>
      </c>
      <c r="K17" s="435"/>
      <c r="L17" s="435"/>
      <c r="M17" s="435"/>
      <c r="N17" s="435"/>
      <c r="O17" s="435"/>
      <c r="P17" s="435"/>
      <c r="Q17" s="435"/>
      <c r="R17" s="435"/>
      <c r="S17" s="435"/>
      <c r="T17" s="37"/>
    </row>
    <row r="18" spans="1:20" ht="16.5" customHeight="1">
      <c r="A18" s="6"/>
      <c r="B18" s="437"/>
      <c r="C18" s="437"/>
      <c r="D18" s="437"/>
      <c r="E18" s="437"/>
      <c r="F18" s="437"/>
      <c r="G18" s="367"/>
      <c r="H18" s="18"/>
      <c r="I18" s="27"/>
      <c r="J18" s="369" t="s">
        <v>14</v>
      </c>
      <c r="K18" s="74"/>
      <c r="L18" s="74"/>
      <c r="M18" s="74"/>
      <c r="N18" s="74"/>
      <c r="O18" s="74"/>
      <c r="P18" s="74"/>
      <c r="Q18" s="74"/>
      <c r="R18" s="74"/>
      <c r="S18" s="74"/>
      <c r="T18" s="38"/>
    </row>
    <row r="19" spans="1:20" ht="19.5" customHeight="1">
      <c r="A19" s="14"/>
      <c r="B19" s="36" t="s">
        <v>15</v>
      </c>
      <c r="C19" s="15"/>
      <c r="D19" s="11"/>
      <c r="E19" s="11"/>
      <c r="F19" s="11"/>
      <c r="G19" s="367"/>
      <c r="H19" s="18"/>
      <c r="I19" s="27"/>
      <c r="J19" s="445" t="s">
        <v>16</v>
      </c>
      <c r="K19" s="437"/>
      <c r="L19" s="437"/>
      <c r="M19" s="437"/>
      <c r="N19" s="437"/>
      <c r="O19" s="437"/>
      <c r="P19" s="437"/>
      <c r="Q19" s="437"/>
      <c r="R19" s="437"/>
      <c r="S19" s="437"/>
      <c r="T19" s="39"/>
    </row>
    <row r="20" spans="1:20" ht="18.75" customHeight="1">
      <c r="A20" s="6"/>
      <c r="B20" s="16"/>
      <c r="C20" s="16"/>
      <c r="D20" s="11"/>
      <c r="E20" s="11"/>
      <c r="F20" s="11"/>
      <c r="G20" s="367"/>
      <c r="H20" s="18"/>
      <c r="I20" s="27"/>
      <c r="J20" s="437"/>
      <c r="K20" s="437"/>
      <c r="L20" s="437"/>
      <c r="M20" s="437"/>
      <c r="N20" s="437"/>
      <c r="O20" s="437"/>
      <c r="P20" s="437"/>
      <c r="Q20" s="437"/>
      <c r="R20" s="437"/>
      <c r="S20" s="437"/>
      <c r="T20" s="39"/>
    </row>
    <row r="21" spans="1:20" ht="6" customHeight="1">
      <c r="A21" s="6"/>
      <c r="B21" s="455" t="s">
        <v>17</v>
      </c>
      <c r="C21" s="437"/>
      <c r="D21" s="437"/>
      <c r="E21" s="437"/>
      <c r="F21" s="437"/>
      <c r="G21" s="445" t="s">
        <v>18</v>
      </c>
      <c r="H21" s="18"/>
      <c r="I21" s="27"/>
      <c r="J21" s="437"/>
      <c r="K21" s="437"/>
      <c r="L21" s="437"/>
      <c r="M21" s="437"/>
      <c r="N21" s="437"/>
      <c r="O21" s="437"/>
      <c r="P21" s="437"/>
      <c r="Q21" s="437"/>
      <c r="R21" s="437"/>
      <c r="S21" s="437"/>
      <c r="T21" s="39"/>
    </row>
    <row r="22" spans="1:20" ht="12.75" customHeight="1">
      <c r="A22" s="6"/>
      <c r="B22" s="437"/>
      <c r="C22" s="437"/>
      <c r="D22" s="437"/>
      <c r="E22" s="437"/>
      <c r="F22" s="437"/>
      <c r="G22" s="437"/>
      <c r="I22" s="6"/>
      <c r="J22" s="437"/>
      <c r="K22" s="437"/>
      <c r="L22" s="437"/>
      <c r="M22" s="437"/>
      <c r="N22" s="437"/>
      <c r="O22" s="437"/>
      <c r="P22" s="437"/>
      <c r="Q22" s="437"/>
      <c r="R22" s="437"/>
      <c r="S22" s="437"/>
      <c r="T22" s="39"/>
    </row>
    <row r="23" spans="1:20" ht="5.25" customHeight="1">
      <c r="A23" s="6"/>
      <c r="B23" s="18"/>
      <c r="C23" s="18"/>
      <c r="D23" s="18"/>
      <c r="E23" s="18"/>
      <c r="F23" s="18"/>
      <c r="G23" s="18"/>
      <c r="H23" s="18"/>
      <c r="I23" s="27"/>
      <c r="J23" s="18"/>
      <c r="K23" s="3"/>
      <c r="L23" s="3"/>
      <c r="M23" s="3"/>
      <c r="N23" s="3"/>
      <c r="O23" s="3"/>
      <c r="P23" s="3"/>
      <c r="Q23" s="3"/>
      <c r="R23" s="3"/>
      <c r="T23" s="4"/>
    </row>
    <row r="24" spans="1:20" ht="12.75" customHeight="1">
      <c r="A24" s="17"/>
      <c r="B24" s="72" t="s">
        <v>19</v>
      </c>
      <c r="C24" s="72"/>
      <c r="D24" s="71"/>
      <c r="E24" s="434" t="s">
        <v>20</v>
      </c>
      <c r="F24" s="435"/>
      <c r="G24" s="435"/>
      <c r="H24" s="435"/>
      <c r="I24" s="435"/>
      <c r="J24" s="435"/>
      <c r="K24" s="52"/>
      <c r="L24" s="2"/>
      <c r="M24" s="59" t="s">
        <v>21</v>
      </c>
      <c r="N24"/>
      <c r="O24" s="5"/>
      <c r="P24" s="59" t="s">
        <v>22</v>
      </c>
      <c r="Q24"/>
      <c r="R24" s="56"/>
      <c r="S24" s="58" t="s">
        <v>23</v>
      </c>
      <c r="T24" s="23"/>
    </row>
    <row r="25" spans="1:20" ht="18" customHeight="1">
      <c r="A25" s="6"/>
      <c r="B25" s="68" t="s">
        <v>24</v>
      </c>
      <c r="C25" s="68"/>
      <c r="D25" s="69"/>
      <c r="E25" s="453" t="s">
        <v>25</v>
      </c>
      <c r="F25" s="437"/>
      <c r="G25" s="437"/>
      <c r="H25" s="437"/>
      <c r="I25" s="437"/>
      <c r="J25" s="437"/>
      <c r="K25" s="53"/>
      <c r="L25" s="22"/>
      <c r="M25" s="54" t="s">
        <v>26</v>
      </c>
      <c r="O25" s="22"/>
      <c r="P25" s="54" t="s">
        <v>27</v>
      </c>
      <c r="R25" s="57"/>
      <c r="S25" s="54" t="s">
        <v>28</v>
      </c>
      <c r="T25" s="23"/>
    </row>
    <row r="26" spans="1:20" ht="13.5" customHeight="1">
      <c r="A26" s="6"/>
      <c r="B26" s="417">
        <v>1</v>
      </c>
      <c r="C26" s="418"/>
      <c r="D26" s="419"/>
      <c r="E26" s="420" t="s">
        <v>29</v>
      </c>
      <c r="F26" s="421"/>
      <c r="G26" s="421"/>
      <c r="H26" s="421"/>
      <c r="I26" s="421"/>
      <c r="J26" s="421"/>
      <c r="K26" s="421"/>
      <c r="L26" s="422"/>
      <c r="M26" s="421" t="s">
        <v>30</v>
      </c>
      <c r="N26" s="423"/>
      <c r="O26" s="422"/>
      <c r="P26" s="424" t="s">
        <v>31</v>
      </c>
      <c r="Q26" s="420"/>
      <c r="R26" s="422"/>
      <c r="S26" s="421" t="s">
        <v>32</v>
      </c>
      <c r="T26" s="23"/>
    </row>
    <row r="27" spans="1:20" ht="13.5" customHeight="1">
      <c r="A27" s="6"/>
      <c r="B27" s="425"/>
      <c r="C27" s="418"/>
      <c r="D27" s="419"/>
      <c r="E27" s="426" t="s">
        <v>33</v>
      </c>
      <c r="F27" s="420"/>
      <c r="G27" s="421"/>
      <c r="H27" s="421"/>
      <c r="I27" s="421"/>
      <c r="J27" s="421"/>
      <c r="K27" s="421"/>
      <c r="L27" s="422"/>
      <c r="M27" s="423"/>
      <c r="N27" s="423"/>
      <c r="O27" s="422"/>
      <c r="P27" s="427"/>
      <c r="Q27" s="420"/>
      <c r="R27" s="422"/>
      <c r="S27" s="428" t="s">
        <v>34</v>
      </c>
      <c r="T27" s="23"/>
    </row>
    <row r="28" spans="1:20" ht="13.5" customHeight="1">
      <c r="A28" s="6"/>
      <c r="B28" s="425"/>
      <c r="C28" s="418"/>
      <c r="D28" s="419"/>
      <c r="E28" s="426" t="s">
        <v>35</v>
      </c>
      <c r="F28" s="420"/>
      <c r="G28" s="421"/>
      <c r="H28" s="421"/>
      <c r="I28" s="421"/>
      <c r="J28" s="421"/>
      <c r="K28" s="421"/>
      <c r="L28" s="422"/>
      <c r="M28" s="423"/>
      <c r="N28" s="423"/>
      <c r="O28" s="422"/>
      <c r="P28" s="427"/>
      <c r="Q28" s="420"/>
      <c r="R28" s="422"/>
      <c r="S28" s="423"/>
      <c r="T28" s="23"/>
    </row>
    <row r="29" spans="1:20" ht="13.5" customHeight="1">
      <c r="A29" s="6"/>
      <c r="B29" s="425"/>
      <c r="C29" s="418"/>
      <c r="D29" s="419"/>
      <c r="E29" s="426" t="s">
        <v>36</v>
      </c>
      <c r="F29" s="420"/>
      <c r="G29" s="421"/>
      <c r="H29" s="421"/>
      <c r="I29" s="421"/>
      <c r="J29" s="421"/>
      <c r="K29" s="421"/>
      <c r="L29" s="422"/>
      <c r="M29" s="423"/>
      <c r="N29" s="423"/>
      <c r="O29" s="422"/>
      <c r="P29" s="427"/>
      <c r="Q29" s="420"/>
      <c r="R29" s="422"/>
      <c r="S29" s="423"/>
      <c r="T29" s="23"/>
    </row>
    <row r="30" spans="1:20" ht="13.5" customHeight="1">
      <c r="A30" s="6"/>
      <c r="B30" s="425"/>
      <c r="C30" s="418"/>
      <c r="D30" s="419"/>
      <c r="E30" s="426" t="s">
        <v>37</v>
      </c>
      <c r="F30" s="420"/>
      <c r="G30" s="421"/>
      <c r="H30" s="421"/>
      <c r="I30" s="421"/>
      <c r="J30" s="421"/>
      <c r="K30" s="421"/>
      <c r="L30" s="422"/>
      <c r="M30" s="423"/>
      <c r="N30" s="423"/>
      <c r="O30" s="422"/>
      <c r="P30" s="427"/>
      <c r="Q30" s="420"/>
      <c r="R30" s="422"/>
      <c r="S30" s="423"/>
      <c r="T30" s="23"/>
    </row>
    <row r="31" spans="1:20" ht="13.5" customHeight="1">
      <c r="A31" s="6"/>
      <c r="B31" s="425"/>
      <c r="C31" s="418"/>
      <c r="D31" s="419"/>
      <c r="E31" s="426" t="s">
        <v>38</v>
      </c>
      <c r="F31" s="420"/>
      <c r="G31" s="421"/>
      <c r="H31" s="421"/>
      <c r="I31" s="421"/>
      <c r="J31" s="421"/>
      <c r="K31" s="421"/>
      <c r="L31" s="422"/>
      <c r="M31" s="423"/>
      <c r="N31" s="423"/>
      <c r="O31" s="422"/>
      <c r="P31" s="427"/>
      <c r="Q31" s="423"/>
      <c r="R31" s="422"/>
      <c r="S31" s="423"/>
      <c r="T31" s="23"/>
    </row>
    <row r="32" spans="1:20" ht="13.5" customHeight="1">
      <c r="A32" s="6"/>
      <c r="B32" s="425"/>
      <c r="C32" s="418"/>
      <c r="D32" s="419"/>
      <c r="E32" s="426" t="s">
        <v>39</v>
      </c>
      <c r="F32" s="420"/>
      <c r="G32" s="421"/>
      <c r="H32" s="421"/>
      <c r="I32" s="421"/>
      <c r="J32" s="421"/>
      <c r="K32" s="421"/>
      <c r="L32" s="422"/>
      <c r="M32" s="423"/>
      <c r="N32" s="423"/>
      <c r="O32" s="422"/>
      <c r="P32" s="427"/>
      <c r="Q32" s="423"/>
      <c r="R32" s="422"/>
      <c r="S32" s="423"/>
      <c r="T32" s="23"/>
    </row>
    <row r="33" spans="1:20" ht="13.5" customHeight="1">
      <c r="A33" s="6"/>
      <c r="B33" s="425"/>
      <c r="C33" s="418"/>
      <c r="D33" s="419"/>
      <c r="E33" s="426" t="s">
        <v>40</v>
      </c>
      <c r="F33" s="420"/>
      <c r="G33" s="421"/>
      <c r="H33" s="421"/>
      <c r="I33" s="421"/>
      <c r="J33" s="421"/>
      <c r="K33" s="421"/>
      <c r="L33" s="422"/>
      <c r="M33" s="423"/>
      <c r="N33" s="423"/>
      <c r="O33" s="422"/>
      <c r="P33" s="427"/>
      <c r="Q33" s="423"/>
      <c r="R33" s="422"/>
      <c r="S33" s="423"/>
      <c r="T33" s="23"/>
    </row>
    <row r="34" spans="1:20" ht="13.5" customHeight="1">
      <c r="A34" s="6"/>
      <c r="B34" s="425"/>
      <c r="C34" s="418"/>
      <c r="D34" s="419"/>
      <c r="E34" s="426" t="s">
        <v>41</v>
      </c>
      <c r="F34" s="420"/>
      <c r="G34" s="421"/>
      <c r="H34" s="421"/>
      <c r="I34" s="421"/>
      <c r="J34" s="421"/>
      <c r="K34" s="421"/>
      <c r="L34" s="422"/>
      <c r="M34" s="423"/>
      <c r="N34" s="423"/>
      <c r="O34" s="422"/>
      <c r="P34" s="427"/>
      <c r="Q34" s="423"/>
      <c r="R34" s="422"/>
      <c r="S34" s="423"/>
      <c r="T34" s="23"/>
    </row>
    <row r="35" spans="1:20" ht="13.5" customHeight="1">
      <c r="A35" s="6"/>
      <c r="B35" s="425"/>
      <c r="C35" s="418"/>
      <c r="D35" s="419"/>
      <c r="E35" s="421"/>
      <c r="F35" s="421"/>
      <c r="G35" s="421"/>
      <c r="H35" s="421"/>
      <c r="I35" s="421"/>
      <c r="J35" s="421"/>
      <c r="K35" s="421"/>
      <c r="L35" s="422"/>
      <c r="M35" s="423"/>
      <c r="N35" s="423"/>
      <c r="O35" s="422"/>
      <c r="P35" s="427"/>
      <c r="Q35" s="423"/>
      <c r="R35" s="422"/>
      <c r="S35" s="423"/>
      <c r="T35" s="23"/>
    </row>
    <row r="36" spans="1:20" ht="13.5" customHeight="1">
      <c r="A36" s="6"/>
      <c r="B36" s="425"/>
      <c r="C36" s="418"/>
      <c r="D36" s="419"/>
      <c r="E36" s="429"/>
      <c r="F36" s="429"/>
      <c r="G36" s="429"/>
      <c r="H36" s="429"/>
      <c r="I36" s="429"/>
      <c r="J36" s="429"/>
      <c r="K36" s="429"/>
      <c r="L36" s="430"/>
      <c r="M36" s="431"/>
      <c r="N36" s="431"/>
      <c r="O36" s="430"/>
      <c r="P36" s="432"/>
      <c r="Q36" s="431"/>
      <c r="R36" s="430"/>
      <c r="S36" s="431"/>
      <c r="T36" s="23"/>
    </row>
    <row r="37" spans="1:20" ht="13.5" customHeight="1">
      <c r="A37" s="6"/>
      <c r="B37" s="425"/>
      <c r="C37" s="418"/>
      <c r="D37" s="419"/>
      <c r="E37" s="429"/>
      <c r="F37" s="429"/>
      <c r="G37" s="429"/>
      <c r="H37" s="429"/>
      <c r="I37" s="429"/>
      <c r="J37" s="429"/>
      <c r="K37" s="429"/>
      <c r="L37" s="430"/>
      <c r="M37" s="431"/>
      <c r="N37" s="431"/>
      <c r="O37" s="430"/>
      <c r="P37" s="432"/>
      <c r="Q37" s="431"/>
      <c r="R37" s="430"/>
      <c r="S37" s="431"/>
      <c r="T37" s="23"/>
    </row>
    <row r="38" spans="1:20" ht="13.5" customHeight="1">
      <c r="A38" s="6"/>
      <c r="B38" s="425"/>
      <c r="C38" s="418"/>
      <c r="D38" s="419"/>
      <c r="E38" s="429"/>
      <c r="F38" s="429"/>
      <c r="G38" s="429"/>
      <c r="H38" s="429"/>
      <c r="I38" s="429"/>
      <c r="J38" s="429"/>
      <c r="K38" s="429"/>
      <c r="L38" s="430"/>
      <c r="M38" s="431"/>
      <c r="N38" s="431"/>
      <c r="O38" s="430"/>
      <c r="P38" s="431"/>
      <c r="Q38" s="431"/>
      <c r="R38" s="430"/>
      <c r="S38" s="431"/>
      <c r="T38" s="23"/>
    </row>
    <row r="39" spans="1:20" ht="13.5" customHeight="1">
      <c r="A39" s="6"/>
      <c r="B39" s="425"/>
      <c r="C39" s="418"/>
      <c r="D39" s="419"/>
      <c r="E39" s="429"/>
      <c r="F39" s="429"/>
      <c r="G39" s="429"/>
      <c r="H39" s="429"/>
      <c r="I39" s="429"/>
      <c r="J39" s="429"/>
      <c r="K39" s="429"/>
      <c r="L39" s="430"/>
      <c r="M39" s="431"/>
      <c r="N39" s="431"/>
      <c r="O39" s="430"/>
      <c r="P39" s="431"/>
      <c r="Q39" s="431"/>
      <c r="R39" s="430"/>
      <c r="S39" s="431"/>
      <c r="T39" s="23"/>
    </row>
    <row r="40" spans="1:20" ht="13.5" customHeight="1">
      <c r="A40" s="6"/>
      <c r="B40" s="425"/>
      <c r="C40" s="418"/>
      <c r="D40" s="419"/>
      <c r="E40" s="429"/>
      <c r="F40" s="429"/>
      <c r="G40" s="429"/>
      <c r="H40" s="429"/>
      <c r="I40" s="429"/>
      <c r="J40" s="429"/>
      <c r="K40" s="429"/>
      <c r="L40" s="430"/>
      <c r="M40" s="431"/>
      <c r="N40" s="431"/>
      <c r="O40" s="430"/>
      <c r="P40" s="431"/>
      <c r="Q40" s="431"/>
      <c r="R40" s="430"/>
      <c r="S40" s="431"/>
      <c r="T40" s="23"/>
    </row>
    <row r="41" spans="1:20" ht="13.5" customHeight="1">
      <c r="A41" s="6"/>
      <c r="B41" s="425"/>
      <c r="C41" s="418"/>
      <c r="D41" s="419"/>
      <c r="E41" s="429"/>
      <c r="F41" s="429"/>
      <c r="G41" s="429"/>
      <c r="H41" s="429"/>
      <c r="I41" s="429"/>
      <c r="J41" s="429"/>
      <c r="K41" s="429"/>
      <c r="L41" s="430"/>
      <c r="M41" s="431"/>
      <c r="N41" s="431"/>
      <c r="O41" s="430"/>
      <c r="P41" s="431"/>
      <c r="Q41" s="431"/>
      <c r="R41" s="430"/>
      <c r="S41" s="431"/>
      <c r="T41" s="23"/>
    </row>
    <row r="42" spans="1:20" ht="13.5" customHeight="1">
      <c r="A42" s="6"/>
      <c r="B42" s="425"/>
      <c r="C42" s="418"/>
      <c r="D42" s="419"/>
      <c r="E42" s="429"/>
      <c r="F42" s="429"/>
      <c r="G42" s="429"/>
      <c r="H42" s="429"/>
      <c r="I42" s="429"/>
      <c r="J42" s="429"/>
      <c r="K42" s="429"/>
      <c r="L42" s="430"/>
      <c r="M42" s="431"/>
      <c r="N42" s="431"/>
      <c r="O42" s="430"/>
      <c r="P42" s="431"/>
      <c r="Q42" s="431"/>
      <c r="R42" s="430"/>
      <c r="S42" s="431"/>
      <c r="T42" s="23"/>
    </row>
    <row r="43" spans="1:20" ht="13.5" customHeight="1">
      <c r="A43" s="6"/>
      <c r="B43" s="425"/>
      <c r="C43" s="418"/>
      <c r="D43" s="419"/>
      <c r="E43" s="429"/>
      <c r="F43" s="429"/>
      <c r="G43" s="429"/>
      <c r="H43" s="429"/>
      <c r="I43" s="429"/>
      <c r="J43" s="429"/>
      <c r="K43" s="429"/>
      <c r="L43" s="430"/>
      <c r="M43" s="431"/>
      <c r="N43" s="431"/>
      <c r="O43" s="430"/>
      <c r="P43" s="431"/>
      <c r="Q43" s="431"/>
      <c r="R43" s="430"/>
      <c r="S43" s="431"/>
      <c r="T43" s="23"/>
    </row>
    <row r="44" spans="1:20" ht="13.5" customHeight="1">
      <c r="A44" s="6"/>
      <c r="B44" s="425"/>
      <c r="C44" s="418"/>
      <c r="D44" s="419"/>
      <c r="E44" s="429"/>
      <c r="F44" s="429"/>
      <c r="G44" s="429"/>
      <c r="H44" s="429"/>
      <c r="I44" s="429"/>
      <c r="J44" s="429"/>
      <c r="K44" s="429"/>
      <c r="L44" s="430"/>
      <c r="M44" s="431"/>
      <c r="N44" s="431"/>
      <c r="O44" s="430"/>
      <c r="P44" s="431"/>
      <c r="Q44" s="431"/>
      <c r="R44" s="430"/>
      <c r="S44" s="431"/>
      <c r="T44" s="23"/>
    </row>
    <row r="45" spans="1:20" ht="13.5" customHeight="1">
      <c r="A45" s="6"/>
      <c r="B45" s="425"/>
      <c r="C45" s="418"/>
      <c r="D45" s="419"/>
      <c r="E45" s="429"/>
      <c r="F45" s="429"/>
      <c r="G45" s="429"/>
      <c r="H45" s="429"/>
      <c r="I45" s="429"/>
      <c r="J45" s="429"/>
      <c r="K45" s="429"/>
      <c r="L45" s="430"/>
      <c r="M45" s="431"/>
      <c r="N45" s="431"/>
      <c r="O45" s="430"/>
      <c r="P45" s="431"/>
      <c r="Q45" s="431"/>
      <c r="R45" s="430"/>
      <c r="S45" s="431"/>
      <c r="T45" s="23"/>
    </row>
    <row r="46" spans="1:20" ht="13.5" customHeight="1">
      <c r="A46" s="6"/>
      <c r="B46" s="425"/>
      <c r="C46" s="418"/>
      <c r="D46" s="419"/>
      <c r="E46" s="429"/>
      <c r="F46" s="429"/>
      <c r="G46" s="429"/>
      <c r="H46" s="429"/>
      <c r="I46" s="429"/>
      <c r="J46" s="429"/>
      <c r="K46" s="429"/>
      <c r="L46" s="430"/>
      <c r="M46" s="431"/>
      <c r="N46" s="431"/>
      <c r="O46" s="430"/>
      <c r="P46" s="431"/>
      <c r="Q46" s="431"/>
      <c r="R46" s="430"/>
      <c r="S46" s="431"/>
      <c r="T46" s="23"/>
    </row>
    <row r="47" spans="1:20" ht="13.5" customHeight="1">
      <c r="A47" s="6"/>
      <c r="B47" s="425"/>
      <c r="C47" s="418"/>
      <c r="D47" s="419"/>
      <c r="E47" s="429"/>
      <c r="F47" s="429"/>
      <c r="G47" s="429"/>
      <c r="H47" s="429"/>
      <c r="I47" s="429"/>
      <c r="J47" s="429"/>
      <c r="K47" s="429"/>
      <c r="L47" s="430"/>
      <c r="M47" s="431"/>
      <c r="N47" s="431"/>
      <c r="O47" s="430"/>
      <c r="P47" s="431"/>
      <c r="Q47" s="431"/>
      <c r="R47" s="430"/>
      <c r="S47" s="431"/>
      <c r="T47" s="23"/>
    </row>
    <row r="48" spans="1:20" ht="13.5" customHeight="1">
      <c r="A48" s="6"/>
      <c r="B48" s="425"/>
      <c r="C48" s="418"/>
      <c r="D48" s="419"/>
      <c r="E48" s="429"/>
      <c r="F48" s="429"/>
      <c r="G48" s="429"/>
      <c r="H48" s="429"/>
      <c r="I48" s="429"/>
      <c r="J48" s="429"/>
      <c r="K48" s="429"/>
      <c r="L48" s="430"/>
      <c r="M48" s="431"/>
      <c r="N48" s="431"/>
      <c r="O48" s="430"/>
      <c r="P48" s="431"/>
      <c r="Q48" s="431"/>
      <c r="R48" s="430"/>
      <c r="S48" s="431"/>
      <c r="T48" s="23"/>
    </row>
    <row r="49" spans="1:20" ht="6" customHeight="1">
      <c r="A49" s="6"/>
      <c r="B49" s="73"/>
      <c r="C49" s="73"/>
      <c r="D49" s="70"/>
      <c r="E49" s="50"/>
      <c r="F49" s="50"/>
      <c r="G49" s="50"/>
      <c r="H49" s="50"/>
      <c r="I49" s="50"/>
      <c r="J49" s="50"/>
      <c r="K49" s="50"/>
      <c r="L49" s="34"/>
      <c r="M49" s="51"/>
      <c r="N49" s="51"/>
      <c r="O49" s="34"/>
      <c r="P49" s="51"/>
      <c r="Q49" s="51"/>
      <c r="R49" s="34"/>
      <c r="S49" s="51"/>
      <c r="T49" s="23"/>
    </row>
    <row r="50" spans="1:20" ht="15" customHeight="1">
      <c r="A50" s="17"/>
      <c r="B50" s="447" t="s">
        <v>42</v>
      </c>
      <c r="C50" s="437"/>
      <c r="D50" s="437"/>
      <c r="E50" s="437"/>
      <c r="F50" s="437"/>
      <c r="G50" s="437"/>
      <c r="H50" s="437"/>
      <c r="I50" s="75"/>
      <c r="J50" s="441" t="s">
        <v>43</v>
      </c>
      <c r="K50" s="437"/>
      <c r="L50" s="437"/>
      <c r="M50" s="437"/>
      <c r="N50" s="437"/>
      <c r="O50" s="437"/>
      <c r="P50" s="437"/>
      <c r="Q50" s="437"/>
      <c r="R50" s="437"/>
      <c r="S50" s="437"/>
      <c r="T50" s="30"/>
    </row>
    <row r="51" spans="1:20" ht="12.75" customHeight="1">
      <c r="A51" s="6"/>
      <c r="B51" s="443" t="s">
        <v>44</v>
      </c>
      <c r="C51" s="437"/>
      <c r="D51" s="437"/>
      <c r="E51" s="437"/>
      <c r="F51" s="437"/>
      <c r="G51" s="437"/>
      <c r="H51" s="19"/>
      <c r="I51" s="29"/>
      <c r="J51" s="444" t="s">
        <v>45</v>
      </c>
      <c r="K51" s="437"/>
      <c r="L51" s="437"/>
      <c r="M51" s="437"/>
      <c r="N51" s="437"/>
      <c r="O51" s="437"/>
      <c r="P51" s="437"/>
      <c r="Q51" s="437"/>
      <c r="R51" s="437"/>
      <c r="S51" s="437"/>
      <c r="T51" s="31"/>
    </row>
    <row r="52" spans="1:20" ht="12.75" customHeight="1">
      <c r="A52" s="6"/>
      <c r="B52" s="443" t="s">
        <v>46</v>
      </c>
      <c r="C52" s="437"/>
      <c r="D52" s="437"/>
      <c r="E52" s="437"/>
      <c r="F52" s="437"/>
      <c r="G52" s="437"/>
      <c r="H52" s="19"/>
      <c r="I52" s="29"/>
      <c r="J52" s="448" t="s">
        <v>47</v>
      </c>
      <c r="K52" s="437"/>
      <c r="L52" s="437"/>
      <c r="M52" s="437"/>
      <c r="N52" s="437"/>
      <c r="O52" s="437"/>
      <c r="P52" s="437"/>
      <c r="Q52" s="437"/>
      <c r="R52" s="437"/>
      <c r="S52" s="437"/>
      <c r="T52" s="31"/>
    </row>
    <row r="53" spans="1:20" ht="12.75" customHeight="1">
      <c r="A53" s="6"/>
      <c r="B53" s="443" t="s">
        <v>48</v>
      </c>
      <c r="C53" s="437"/>
      <c r="D53" s="437"/>
      <c r="E53" s="437"/>
      <c r="F53" s="437"/>
      <c r="G53" s="437"/>
      <c r="H53" s="19"/>
      <c r="I53" s="29"/>
      <c r="J53" s="19"/>
      <c r="K53" s="20"/>
      <c r="L53" s="19"/>
      <c r="M53" s="19"/>
      <c r="N53" s="19"/>
      <c r="O53" s="19"/>
      <c r="P53" s="19"/>
      <c r="Q53" s="1"/>
      <c r="R53" s="19"/>
      <c r="S53" s="19"/>
      <c r="T53" s="21"/>
    </row>
    <row r="54" spans="1:20" ht="12.75" customHeight="1">
      <c r="A54" s="6"/>
      <c r="B54" s="443" t="s">
        <v>49</v>
      </c>
      <c r="C54" s="437"/>
      <c r="D54" s="437"/>
      <c r="E54" s="437"/>
      <c r="F54" s="437"/>
      <c r="G54" s="437"/>
      <c r="H54" s="19"/>
      <c r="I54" s="29"/>
      <c r="J54" s="19"/>
      <c r="K54" s="20"/>
      <c r="L54" s="19"/>
      <c r="M54" s="19"/>
      <c r="N54" s="19"/>
      <c r="O54" s="19"/>
      <c r="P54" s="19"/>
      <c r="Q54" s="19"/>
      <c r="R54" s="19"/>
      <c r="S54" s="19"/>
      <c r="T54" s="21"/>
    </row>
    <row r="55" spans="1:20" ht="12.75" customHeight="1">
      <c r="A55" s="6"/>
      <c r="B55" s="452" t="s">
        <v>50</v>
      </c>
      <c r="C55" s="437"/>
      <c r="D55" s="437"/>
      <c r="E55" s="437"/>
      <c r="F55" s="437"/>
      <c r="G55" s="437"/>
      <c r="H55" s="19"/>
      <c r="I55" s="29"/>
      <c r="J55" s="19"/>
      <c r="K55" s="20"/>
      <c r="L55" s="19"/>
      <c r="M55" s="19"/>
      <c r="N55" s="19"/>
      <c r="O55" s="19"/>
      <c r="P55" s="19"/>
      <c r="Q55" s="19"/>
      <c r="R55" s="19"/>
      <c r="S55" s="19"/>
      <c r="T55" s="21"/>
    </row>
    <row r="56" spans="1:20" ht="12.75" customHeight="1">
      <c r="A56" s="6"/>
      <c r="B56" s="463" t="s">
        <v>51</v>
      </c>
      <c r="C56" s="437"/>
      <c r="D56" s="437"/>
      <c r="E56" s="437"/>
      <c r="F56" s="437"/>
      <c r="G56" s="437"/>
      <c r="H56" s="19"/>
      <c r="I56" s="29"/>
      <c r="J56" s="19"/>
      <c r="K56" s="20"/>
      <c r="L56" s="19"/>
      <c r="M56" s="19"/>
      <c r="N56" s="19"/>
      <c r="O56" s="19"/>
      <c r="P56" s="19"/>
      <c r="Q56" s="19"/>
      <c r="R56" s="19"/>
      <c r="S56" s="19"/>
      <c r="T56" s="21"/>
    </row>
    <row r="57" spans="1:20" ht="9" customHeight="1">
      <c r="A57" s="6"/>
      <c r="B57" s="32"/>
      <c r="C57" s="32"/>
      <c r="D57" s="32"/>
      <c r="E57" s="32"/>
      <c r="F57" s="32"/>
      <c r="G57" s="32"/>
      <c r="H57" s="19"/>
      <c r="I57" s="29"/>
      <c r="J57" s="19"/>
      <c r="K57" s="20"/>
      <c r="L57" s="19"/>
      <c r="M57" s="19"/>
      <c r="N57" s="19"/>
      <c r="O57" s="19"/>
      <c r="P57" s="19"/>
      <c r="Q57" s="19"/>
      <c r="R57" s="19"/>
      <c r="S57" s="19"/>
      <c r="T57" s="21"/>
    </row>
    <row r="58" spans="1:20" ht="13.5" customHeight="1">
      <c r="A58" s="6"/>
      <c r="B58" s="32"/>
      <c r="C58" s="32"/>
      <c r="D58" s="32"/>
      <c r="E58" s="32"/>
      <c r="F58" s="32"/>
      <c r="G58" s="32"/>
      <c r="H58" s="19"/>
      <c r="I58" s="29"/>
      <c r="J58" s="19"/>
      <c r="K58" s="20"/>
      <c r="L58" s="19"/>
      <c r="M58" s="19"/>
      <c r="N58" s="19"/>
      <c r="O58" s="19"/>
      <c r="P58" s="19"/>
      <c r="Q58" s="19"/>
      <c r="R58" s="19"/>
      <c r="S58" s="19"/>
      <c r="T58" s="21"/>
    </row>
    <row r="59" spans="1:20" ht="13.5" customHeight="1">
      <c r="A59" s="6"/>
      <c r="B59" s="32"/>
      <c r="C59" s="32"/>
      <c r="D59" s="32"/>
      <c r="E59" s="32"/>
      <c r="F59" s="32"/>
      <c r="G59" s="32"/>
      <c r="H59" s="19"/>
      <c r="I59" s="29"/>
      <c r="J59" s="19"/>
      <c r="K59" s="20"/>
      <c r="L59" s="19"/>
      <c r="M59" s="19"/>
      <c r="N59" s="19"/>
      <c r="O59" s="19"/>
      <c r="P59" s="19"/>
      <c r="Q59" s="19"/>
      <c r="R59" s="19"/>
      <c r="S59" s="19"/>
      <c r="T59" s="21"/>
    </row>
    <row r="60" spans="1:20" ht="13.5" customHeight="1">
      <c r="A60" s="6"/>
      <c r="B60" s="32"/>
      <c r="C60" s="32"/>
      <c r="D60" s="32"/>
      <c r="E60" s="32"/>
      <c r="F60" s="32"/>
      <c r="G60" s="32"/>
      <c r="H60" s="19"/>
      <c r="I60" s="29"/>
      <c r="J60" s="19"/>
      <c r="K60" s="20"/>
      <c r="L60" s="19"/>
      <c r="M60" s="19"/>
      <c r="N60" s="19"/>
      <c r="O60" s="19"/>
      <c r="P60" s="19"/>
      <c r="Q60" s="19"/>
      <c r="R60" s="19"/>
      <c r="S60" s="19"/>
      <c r="T60" s="21"/>
    </row>
    <row r="61" spans="1:20" ht="13.5" customHeight="1">
      <c r="A61" s="6"/>
      <c r="B61" s="12"/>
      <c r="C61" s="12"/>
      <c r="D61" s="19"/>
      <c r="E61" s="19"/>
      <c r="F61" s="19"/>
      <c r="G61" s="19"/>
      <c r="H61" s="19"/>
      <c r="I61" s="29"/>
      <c r="J61" s="19"/>
      <c r="K61" s="20"/>
      <c r="L61" s="19"/>
      <c r="M61" s="19"/>
      <c r="N61" s="19"/>
      <c r="O61" s="19"/>
      <c r="P61" s="19"/>
      <c r="Q61" s="19"/>
      <c r="R61" s="19"/>
      <c r="S61" s="19"/>
      <c r="T61" s="21"/>
    </row>
    <row r="62" spans="1:20" ht="18.75" customHeight="1">
      <c r="A62" s="6"/>
      <c r="B62" s="456">
        <f ca="1">TODAY()</f>
        <v>45940</v>
      </c>
      <c r="C62" s="437"/>
      <c r="D62" s="437"/>
      <c r="E62" s="437"/>
      <c r="F62" s="437"/>
      <c r="G62" s="437"/>
      <c r="H62" s="19"/>
      <c r="I62" s="29"/>
      <c r="J62" s="446">
        <f ca="1">TODAY()</f>
        <v>45940</v>
      </c>
      <c r="K62" s="437"/>
      <c r="L62" s="437"/>
      <c r="M62" s="437"/>
      <c r="N62" s="437"/>
      <c r="O62" s="437"/>
      <c r="P62" s="437"/>
      <c r="Q62" s="437"/>
      <c r="R62" s="437"/>
      <c r="S62" s="437"/>
      <c r="T62" s="21"/>
    </row>
    <row r="63" spans="1:20" ht="16.5" customHeight="1">
      <c r="A63" s="6"/>
      <c r="B63" s="454" t="s">
        <v>52</v>
      </c>
      <c r="C63" s="437"/>
      <c r="D63" s="437"/>
      <c r="E63" s="437"/>
      <c r="F63" s="437"/>
      <c r="G63" s="437"/>
      <c r="H63" s="19"/>
      <c r="I63" s="29"/>
      <c r="J63" s="454" t="s">
        <v>53</v>
      </c>
      <c r="K63" s="437"/>
      <c r="L63" s="437"/>
      <c r="M63" s="437"/>
      <c r="N63" s="437"/>
      <c r="O63" s="437"/>
      <c r="P63" s="437"/>
      <c r="Q63" s="437"/>
      <c r="R63" s="437"/>
      <c r="S63" s="437"/>
      <c r="T63" s="21"/>
    </row>
    <row r="64" spans="1:20" ht="6.75" customHeight="1">
      <c r="A64" s="7"/>
      <c r="B64" s="24"/>
      <c r="C64" s="24"/>
      <c r="D64" s="24"/>
      <c r="E64" s="24"/>
      <c r="F64" s="24"/>
      <c r="G64" s="24"/>
      <c r="H64" s="24"/>
      <c r="I64" s="7"/>
      <c r="J64" s="24"/>
      <c r="K64" s="24"/>
      <c r="L64" s="24"/>
      <c r="M64" s="24"/>
      <c r="N64" s="24"/>
      <c r="O64" s="24"/>
      <c r="P64" s="24"/>
      <c r="Q64" s="24"/>
      <c r="R64" s="24"/>
      <c r="S64" s="24"/>
      <c r="T64" s="25"/>
    </row>
    <row r="65" spans="2:20" ht="12.75" customHeight="1">
      <c r="B65" s="33"/>
      <c r="C65" s="33"/>
      <c r="D65" s="9"/>
      <c r="E65" s="9"/>
      <c r="F65" s="9"/>
      <c r="G65" s="9"/>
      <c r="H65" s="9"/>
      <c r="I65" s="9"/>
      <c r="J65" s="9"/>
      <c r="K65" s="9"/>
      <c r="L65" s="9"/>
      <c r="M65" s="9"/>
      <c r="N65" s="9"/>
      <c r="O65" s="9"/>
      <c r="P65" s="9"/>
      <c r="Q65" s="55"/>
      <c r="R65" s="9"/>
      <c r="S65" s="370" t="s">
        <v>54</v>
      </c>
      <c r="T65" s="9"/>
    </row>
  </sheetData>
  <mergeCells count="31">
    <mergeCell ref="B63:G63"/>
    <mergeCell ref="B21:F22"/>
    <mergeCell ref="B62:G62"/>
    <mergeCell ref="B3:G3"/>
    <mergeCell ref="B54:G54"/>
    <mergeCell ref="B16:G16"/>
    <mergeCell ref="E24:J24"/>
    <mergeCell ref="B17:F18"/>
    <mergeCell ref="I2:T4"/>
    <mergeCell ref="G21:G22"/>
    <mergeCell ref="B56:G56"/>
    <mergeCell ref="B52:G52"/>
    <mergeCell ref="J63:S63"/>
    <mergeCell ref="B53:G53"/>
    <mergeCell ref="J51:S51"/>
    <mergeCell ref="J19:S22"/>
    <mergeCell ref="J62:S62"/>
    <mergeCell ref="B50:H50"/>
    <mergeCell ref="J52:S52"/>
    <mergeCell ref="B55:G55"/>
    <mergeCell ref="E25:J25"/>
    <mergeCell ref="B51:G51"/>
    <mergeCell ref="B2:G2"/>
    <mergeCell ref="B5:G6"/>
    <mergeCell ref="J13:S16"/>
    <mergeCell ref="B8:G8"/>
    <mergeCell ref="J50:S50"/>
    <mergeCell ref="J12:S12"/>
    <mergeCell ref="B9:G9"/>
    <mergeCell ref="J17:S17"/>
    <mergeCell ref="J6:S11"/>
  </mergeCells>
  <printOptions horizontalCentered="1"/>
  <pageMargins left="7.874015748031496E-2" right="7.874015748031496E-2" top="0.31496062992125978" bottom="7.874015748031496E-2" header="0" footer="0"/>
  <pageSetup paperSize="9" scale="91"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2:U65"/>
  <sheetViews>
    <sheetView view="pageBreakPreview" zoomScale="145" zoomScaleNormal="100" zoomScaleSheetLayoutView="145" workbookViewId="0"/>
  </sheetViews>
  <sheetFormatPr defaultColWidth="9" defaultRowHeight="12.75"/>
  <cols>
    <col min="1" max="1" width="1.5" style="78" customWidth="1"/>
    <col min="2" max="2" width="8.1640625" style="78" customWidth="1"/>
    <col min="3" max="4" width="1.5" style="78" customWidth="1"/>
    <col min="5" max="5" width="4.83203125" style="78" customWidth="1"/>
    <col min="6" max="6" width="3.83203125" style="78" customWidth="1"/>
    <col min="7" max="7" width="33.33203125" style="78" customWidth="1"/>
    <col min="8" max="9" width="1.5" style="78" customWidth="1"/>
    <col min="10" max="10" width="5.6640625" style="78" customWidth="1"/>
    <col min="11" max="12" width="1.5" style="78" customWidth="1"/>
    <col min="13" max="13" width="11.83203125" style="78" customWidth="1"/>
    <col min="14" max="15" width="1.5" style="78" customWidth="1"/>
    <col min="16" max="16" width="13.6640625" style="78" customWidth="1"/>
    <col min="17" max="18" width="1.5" style="78" customWidth="1"/>
    <col min="19" max="19" width="18.83203125" style="78" customWidth="1"/>
    <col min="20" max="20" width="1.5" style="78" customWidth="1"/>
    <col min="21" max="21" width="1.33203125" style="78" customWidth="1"/>
  </cols>
  <sheetData>
    <row r="2" spans="1:20" ht="12" customHeight="1">
      <c r="A2" s="17"/>
      <c r="B2" s="434" t="s">
        <v>0</v>
      </c>
      <c r="C2" s="435"/>
      <c r="D2" s="435"/>
      <c r="E2" s="435"/>
      <c r="F2" s="435"/>
      <c r="G2" s="435"/>
      <c r="H2" s="40"/>
      <c r="I2" s="457" t="s">
        <v>1</v>
      </c>
      <c r="J2" s="435"/>
      <c r="K2" s="435"/>
      <c r="L2" s="435"/>
      <c r="M2" s="435"/>
      <c r="N2" s="435"/>
      <c r="O2" s="435"/>
      <c r="P2" s="435"/>
      <c r="Q2" s="435"/>
      <c r="R2" s="435"/>
      <c r="S2" s="435"/>
      <c r="T2" s="458"/>
    </row>
    <row r="3" spans="1:20" ht="14.25" customHeight="1">
      <c r="A3" s="6"/>
      <c r="B3" s="449" t="s">
        <v>2</v>
      </c>
      <c r="C3" s="437"/>
      <c r="D3" s="437"/>
      <c r="E3" s="437"/>
      <c r="F3" s="437"/>
      <c r="G3" s="437"/>
      <c r="H3" s="16"/>
      <c r="I3" s="459"/>
      <c r="J3" s="437"/>
      <c r="K3" s="437"/>
      <c r="L3" s="437"/>
      <c r="M3" s="437"/>
      <c r="N3" s="437"/>
      <c r="O3" s="437"/>
      <c r="P3" s="437"/>
      <c r="Q3" s="437"/>
      <c r="R3" s="437"/>
      <c r="S3" s="437"/>
      <c r="T3" s="460"/>
    </row>
    <row r="4" spans="1:20" ht="3.75" customHeight="1">
      <c r="A4" s="6"/>
      <c r="B4" s="62"/>
      <c r="C4" s="62"/>
      <c r="D4" s="62"/>
      <c r="E4" s="62"/>
      <c r="F4" s="62"/>
      <c r="G4" s="62"/>
      <c r="H4" s="16"/>
      <c r="I4" s="461"/>
      <c r="J4" s="439"/>
      <c r="K4" s="439"/>
      <c r="L4" s="439"/>
      <c r="M4" s="439"/>
      <c r="N4" s="439"/>
      <c r="O4" s="439"/>
      <c r="P4" s="439"/>
      <c r="Q4" s="439"/>
      <c r="R4" s="439"/>
      <c r="S4" s="439"/>
      <c r="T4" s="462"/>
    </row>
    <row r="5" spans="1:20" ht="3.75" customHeight="1">
      <c r="A5" s="6"/>
      <c r="B5" s="436" t="s">
        <v>3</v>
      </c>
      <c r="C5" s="437"/>
      <c r="D5" s="437"/>
      <c r="E5" s="437"/>
      <c r="F5" s="437"/>
      <c r="G5" s="437"/>
      <c r="H5" s="16"/>
      <c r="I5" s="60"/>
      <c r="J5" s="64"/>
      <c r="K5" s="63"/>
      <c r="L5" s="63"/>
      <c r="M5" s="63"/>
      <c r="N5" s="63"/>
      <c r="O5" s="63"/>
      <c r="P5" s="63"/>
      <c r="Q5" s="63"/>
      <c r="R5" s="63"/>
      <c r="S5" s="63"/>
      <c r="T5" s="65"/>
    </row>
    <row r="6" spans="1:20" ht="72.75" customHeight="1">
      <c r="A6" s="6"/>
      <c r="B6" s="437"/>
      <c r="C6" s="437"/>
      <c r="D6" s="437"/>
      <c r="E6" s="437"/>
      <c r="F6" s="437"/>
      <c r="G6" s="437"/>
      <c r="H6" s="16"/>
      <c r="I6" s="42"/>
      <c r="J6" s="553" t="s">
        <v>494</v>
      </c>
      <c r="K6" s="553"/>
      <c r="L6" s="553"/>
      <c r="M6" s="553"/>
      <c r="N6" s="553"/>
      <c r="O6" s="553"/>
      <c r="P6" s="553"/>
      <c r="Q6" s="553"/>
      <c r="R6" s="553"/>
      <c r="S6" s="553"/>
      <c r="T6" s="49"/>
    </row>
    <row r="7" spans="1:20" ht="4.5" customHeight="1">
      <c r="A7" s="6"/>
      <c r="H7" s="41"/>
      <c r="I7" s="6"/>
      <c r="J7" s="553"/>
      <c r="K7" s="553"/>
      <c r="L7" s="553"/>
      <c r="M7" s="553"/>
      <c r="N7" s="553"/>
      <c r="O7" s="553"/>
      <c r="P7" s="553"/>
      <c r="Q7" s="553"/>
      <c r="R7" s="553"/>
      <c r="S7" s="553"/>
      <c r="T7" s="23"/>
    </row>
    <row r="8" spans="1:20" ht="12" customHeight="1">
      <c r="A8" s="17"/>
      <c r="B8" s="440" t="s">
        <v>496</v>
      </c>
      <c r="C8" s="435"/>
      <c r="D8" s="435"/>
      <c r="E8" s="435"/>
      <c r="F8" s="435"/>
      <c r="G8" s="435"/>
      <c r="H8" s="10"/>
      <c r="I8" s="43"/>
      <c r="J8" s="553"/>
      <c r="K8" s="553"/>
      <c r="L8" s="553"/>
      <c r="M8" s="553"/>
      <c r="N8" s="553"/>
      <c r="O8" s="553"/>
      <c r="P8" s="553"/>
      <c r="Q8" s="553"/>
      <c r="R8" s="553"/>
      <c r="S8" s="553"/>
      <c r="T8" s="49"/>
    </row>
    <row r="9" spans="1:20" ht="15.75" customHeight="1">
      <c r="A9" s="6"/>
      <c r="B9" s="449" t="s">
        <v>4</v>
      </c>
      <c r="C9" s="437"/>
      <c r="D9" s="437"/>
      <c r="E9" s="437"/>
      <c r="F9" s="437"/>
      <c r="G9" s="437"/>
      <c r="H9" s="11"/>
      <c r="I9" s="43"/>
      <c r="J9" s="553"/>
      <c r="K9" s="553"/>
      <c r="L9" s="553"/>
      <c r="M9" s="553"/>
      <c r="N9" s="553"/>
      <c r="O9" s="553"/>
      <c r="P9" s="553"/>
      <c r="Q9" s="553"/>
      <c r="R9" s="553"/>
      <c r="S9" s="553"/>
      <c r="T9" s="49"/>
    </row>
    <row r="10" spans="1:20" ht="13.5" customHeight="1">
      <c r="A10" s="6"/>
      <c r="B10" s="368" t="s">
        <v>55</v>
      </c>
      <c r="H10" s="12"/>
      <c r="I10" s="44"/>
      <c r="J10" s="553"/>
      <c r="K10" s="553"/>
      <c r="L10" s="553"/>
      <c r="M10" s="553"/>
      <c r="N10" s="553"/>
      <c r="O10" s="553"/>
      <c r="P10" s="553"/>
      <c r="Q10" s="553"/>
      <c r="R10" s="553"/>
      <c r="S10" s="553"/>
      <c r="T10" s="49"/>
    </row>
    <row r="11" spans="1:20" ht="13.5" customHeight="1">
      <c r="A11" s="6"/>
      <c r="B11" s="368" t="s">
        <v>56</v>
      </c>
      <c r="H11" s="13"/>
      <c r="I11" s="66"/>
      <c r="J11" s="451"/>
      <c r="K11" s="451"/>
      <c r="L11" s="451"/>
      <c r="M11" s="451"/>
      <c r="N11" s="451"/>
      <c r="O11" s="451"/>
      <c r="P11" s="451"/>
      <c r="Q11" s="451"/>
      <c r="R11" s="451"/>
      <c r="S11" s="451"/>
      <c r="T11" s="67"/>
    </row>
    <row r="12" spans="1:20" ht="13.5" customHeight="1">
      <c r="A12" s="6"/>
      <c r="B12" s="368" t="s">
        <v>57</v>
      </c>
      <c r="H12" s="13"/>
      <c r="I12" s="26"/>
      <c r="J12" s="442" t="s">
        <v>8</v>
      </c>
      <c r="K12" s="435"/>
      <c r="L12" s="435"/>
      <c r="M12" s="435"/>
      <c r="N12" s="435"/>
      <c r="O12" s="435"/>
      <c r="P12" s="435"/>
      <c r="Q12" s="435"/>
      <c r="R12" s="435"/>
      <c r="S12" s="435"/>
      <c r="T12" s="48"/>
    </row>
    <row r="13" spans="1:20" ht="13.5" customHeight="1">
      <c r="A13" s="6"/>
      <c r="B13" s="368" t="s">
        <v>58</v>
      </c>
      <c r="H13" s="13"/>
      <c r="I13" s="45"/>
      <c r="J13" s="554" t="s">
        <v>495</v>
      </c>
      <c r="K13" s="554"/>
      <c r="L13" s="554"/>
      <c r="M13" s="554"/>
      <c r="N13" s="554"/>
      <c r="O13" s="554"/>
      <c r="P13" s="554"/>
      <c r="Q13" s="554"/>
      <c r="R13" s="554"/>
      <c r="S13" s="554"/>
      <c r="T13" s="61"/>
    </row>
    <row r="14" spans="1:20" ht="13.5" customHeight="1">
      <c r="A14" s="6"/>
      <c r="B14" s="368" t="s">
        <v>59</v>
      </c>
      <c r="H14" s="13"/>
      <c r="I14" s="45"/>
      <c r="J14" s="554"/>
      <c r="K14" s="554"/>
      <c r="L14" s="554"/>
      <c r="M14" s="554"/>
      <c r="N14" s="554"/>
      <c r="O14" s="554"/>
      <c r="P14" s="554"/>
      <c r="Q14" s="554"/>
      <c r="R14" s="554"/>
      <c r="S14" s="554"/>
      <c r="T14" s="61"/>
    </row>
    <row r="15" spans="1:20" ht="13.5" customHeight="1">
      <c r="A15" s="7"/>
      <c r="B15" s="8"/>
      <c r="C15" s="8"/>
      <c r="D15" s="8"/>
      <c r="E15" s="8"/>
      <c r="F15" s="8"/>
      <c r="G15" s="8"/>
      <c r="H15" s="8"/>
      <c r="I15" s="45"/>
      <c r="J15" s="554"/>
      <c r="K15" s="554"/>
      <c r="L15" s="554"/>
      <c r="M15" s="554"/>
      <c r="N15" s="554"/>
      <c r="O15" s="554"/>
      <c r="P15" s="554"/>
      <c r="Q15" s="554"/>
      <c r="R15" s="554"/>
      <c r="S15" s="554"/>
      <c r="T15" s="61"/>
    </row>
    <row r="16" spans="1:20" ht="12" customHeight="1">
      <c r="A16" s="17"/>
      <c r="B16" s="442" t="s">
        <v>11</v>
      </c>
      <c r="C16" s="435"/>
      <c r="D16" s="435"/>
      <c r="E16" s="435"/>
      <c r="F16" s="435"/>
      <c r="G16" s="435"/>
      <c r="H16" s="28"/>
      <c r="I16" s="46"/>
      <c r="J16" s="438"/>
      <c r="K16" s="438"/>
      <c r="L16" s="438"/>
      <c r="M16" s="438"/>
      <c r="N16" s="438"/>
      <c r="O16" s="438"/>
      <c r="P16" s="438"/>
      <c r="Q16" s="438"/>
      <c r="R16" s="438"/>
      <c r="S16" s="438"/>
      <c r="T16" s="47"/>
    </row>
    <row r="17" spans="1:20" ht="12" customHeight="1">
      <c r="A17" s="35"/>
      <c r="B17" s="449" t="s">
        <v>12</v>
      </c>
      <c r="C17" s="437"/>
      <c r="D17" s="437"/>
      <c r="E17" s="437"/>
      <c r="F17" s="437"/>
      <c r="G17" s="366"/>
      <c r="H17" s="18"/>
      <c r="I17" s="26"/>
      <c r="J17" s="450" t="s">
        <v>13</v>
      </c>
      <c r="K17" s="435"/>
      <c r="L17" s="435"/>
      <c r="M17" s="435"/>
      <c r="N17" s="435"/>
      <c r="O17" s="435"/>
      <c r="P17" s="435"/>
      <c r="Q17" s="435"/>
      <c r="R17" s="435"/>
      <c r="S17" s="435"/>
      <c r="T17" s="37"/>
    </row>
    <row r="18" spans="1:20" ht="16.5" customHeight="1">
      <c r="A18" s="6"/>
      <c r="B18" s="437"/>
      <c r="C18" s="437"/>
      <c r="D18" s="437"/>
      <c r="E18" s="437"/>
      <c r="F18" s="437"/>
      <c r="G18" s="367"/>
      <c r="H18" s="18"/>
      <c r="I18" s="27"/>
      <c r="J18" s="369" t="s">
        <v>14</v>
      </c>
      <c r="K18" s="74"/>
      <c r="L18" s="74"/>
      <c r="M18" s="74"/>
      <c r="N18" s="74"/>
      <c r="O18" s="74"/>
      <c r="P18" s="74"/>
      <c r="Q18" s="74"/>
      <c r="R18" s="74"/>
      <c r="S18" s="74"/>
      <c r="T18" s="38"/>
    </row>
    <row r="19" spans="1:20" ht="19.5" customHeight="1">
      <c r="A19" s="14"/>
      <c r="B19" s="36" t="s">
        <v>15</v>
      </c>
      <c r="C19" s="15"/>
      <c r="D19" s="11"/>
      <c r="E19" s="11"/>
      <c r="F19" s="11"/>
      <c r="G19" s="367"/>
      <c r="H19" s="18"/>
      <c r="I19" s="27"/>
      <c r="J19" s="445" t="s">
        <v>60</v>
      </c>
      <c r="K19" s="437"/>
      <c r="L19" s="437"/>
      <c r="M19" s="437"/>
      <c r="N19" s="437"/>
      <c r="O19" s="437"/>
      <c r="P19" s="437"/>
      <c r="Q19" s="437"/>
      <c r="R19" s="437"/>
      <c r="S19" s="437"/>
      <c r="T19" s="39"/>
    </row>
    <row r="20" spans="1:20" ht="18.75" customHeight="1">
      <c r="A20" s="6"/>
      <c r="B20" s="16"/>
      <c r="C20" s="16"/>
      <c r="D20" s="11"/>
      <c r="E20" s="11"/>
      <c r="F20" s="11"/>
      <c r="G20" s="367"/>
      <c r="H20" s="18"/>
      <c r="I20" s="27"/>
      <c r="J20" s="437"/>
      <c r="K20" s="437"/>
      <c r="L20" s="437"/>
      <c r="M20" s="437"/>
      <c r="N20" s="437"/>
      <c r="O20" s="437"/>
      <c r="P20" s="437"/>
      <c r="Q20" s="437"/>
      <c r="R20" s="437"/>
      <c r="S20" s="437"/>
      <c r="T20" s="39"/>
    </row>
    <row r="21" spans="1:20" ht="19.5" customHeight="1">
      <c r="A21" s="6"/>
      <c r="B21" s="36" t="s">
        <v>17</v>
      </c>
      <c r="C21" s="36"/>
      <c r="D21" s="36"/>
      <c r="E21" s="36"/>
      <c r="F21" s="36"/>
      <c r="G21" s="372" t="s">
        <v>61</v>
      </c>
      <c r="H21" s="18"/>
      <c r="I21" s="27"/>
      <c r="J21" s="437"/>
      <c r="K21" s="437"/>
      <c r="L21" s="437"/>
      <c r="M21" s="437"/>
      <c r="N21" s="437"/>
      <c r="O21" s="437"/>
      <c r="P21" s="437"/>
      <c r="Q21" s="437"/>
      <c r="R21" s="437"/>
      <c r="S21" s="437"/>
      <c r="T21" s="39"/>
    </row>
    <row r="22" spans="1:20" ht="6" customHeight="1">
      <c r="A22" s="6"/>
      <c r="B22" s="371"/>
      <c r="C22" s="371"/>
      <c r="D22" s="371"/>
      <c r="E22" s="371"/>
      <c r="F22" s="371"/>
      <c r="G22" s="367"/>
      <c r="I22" s="6"/>
      <c r="J22" s="437"/>
      <c r="K22" s="437"/>
      <c r="L22" s="437"/>
      <c r="M22" s="437"/>
      <c r="N22" s="437"/>
      <c r="O22" s="437"/>
      <c r="P22" s="437"/>
      <c r="Q22" s="437"/>
      <c r="R22" s="437"/>
      <c r="S22" s="437"/>
      <c r="T22" s="39"/>
    </row>
    <row r="23" spans="1:20" ht="9" customHeight="1">
      <c r="A23" s="6"/>
      <c r="B23" s="18"/>
      <c r="C23" s="18"/>
      <c r="D23" s="18"/>
      <c r="E23" s="18"/>
      <c r="F23" s="18"/>
      <c r="G23" s="18"/>
      <c r="H23" s="18"/>
      <c r="I23" s="27"/>
      <c r="J23" s="18"/>
      <c r="K23" s="3"/>
      <c r="L23" s="3"/>
      <c r="M23" s="3"/>
      <c r="N23" s="3"/>
      <c r="O23" s="3"/>
      <c r="P23" s="3"/>
      <c r="Q23" s="3"/>
      <c r="R23" s="3"/>
      <c r="T23" s="4"/>
    </row>
    <row r="24" spans="1:20" ht="12.75" customHeight="1">
      <c r="A24" s="17"/>
      <c r="B24" s="72" t="s">
        <v>19</v>
      </c>
      <c r="C24" s="72"/>
      <c r="D24" s="71"/>
      <c r="E24" s="434" t="s">
        <v>20</v>
      </c>
      <c r="F24" s="435"/>
      <c r="G24" s="435"/>
      <c r="H24" s="435"/>
      <c r="I24" s="435"/>
      <c r="J24" s="435"/>
      <c r="K24" s="52"/>
      <c r="L24" s="2"/>
      <c r="M24" s="59" t="s">
        <v>21</v>
      </c>
      <c r="N24"/>
      <c r="O24" s="5"/>
      <c r="P24" s="59" t="s">
        <v>22</v>
      </c>
      <c r="Q24"/>
      <c r="R24" s="56"/>
      <c r="S24" s="58" t="s">
        <v>23</v>
      </c>
      <c r="T24" s="23"/>
    </row>
    <row r="25" spans="1:20" ht="18" customHeight="1">
      <c r="A25" s="6"/>
      <c r="B25" s="68" t="s">
        <v>24</v>
      </c>
      <c r="C25" s="68"/>
      <c r="D25" s="69"/>
      <c r="E25" s="453" t="s">
        <v>25</v>
      </c>
      <c r="F25" s="437"/>
      <c r="G25" s="437"/>
      <c r="H25" s="437"/>
      <c r="I25" s="437"/>
      <c r="J25" s="437"/>
      <c r="K25" s="53"/>
      <c r="L25" s="22"/>
      <c r="M25" s="54" t="s">
        <v>26</v>
      </c>
      <c r="O25" s="22"/>
      <c r="P25" s="54" t="s">
        <v>27</v>
      </c>
      <c r="R25" s="57"/>
      <c r="S25" s="54" t="s">
        <v>28</v>
      </c>
      <c r="T25" s="23"/>
    </row>
    <row r="26" spans="1:20" ht="13.5" customHeight="1">
      <c r="A26" s="6"/>
      <c r="B26" s="417">
        <v>3</v>
      </c>
      <c r="C26" s="418"/>
      <c r="D26" s="419"/>
      <c r="E26" s="420" t="s">
        <v>29</v>
      </c>
      <c r="F26" s="421"/>
      <c r="G26" s="421"/>
      <c r="H26" s="421"/>
      <c r="I26" s="421"/>
      <c r="J26" s="421"/>
      <c r="K26" s="421"/>
      <c r="L26" s="422"/>
      <c r="M26" s="421" t="s">
        <v>30</v>
      </c>
      <c r="N26" s="423"/>
      <c r="O26" s="422"/>
      <c r="P26" s="433" t="s">
        <v>31</v>
      </c>
      <c r="Q26" s="420"/>
      <c r="R26" s="422"/>
      <c r="S26" s="421" t="s">
        <v>32</v>
      </c>
      <c r="T26" s="23"/>
    </row>
    <row r="27" spans="1:20" ht="13.5" customHeight="1">
      <c r="A27" s="6"/>
      <c r="B27" s="425"/>
      <c r="C27" s="418"/>
      <c r="D27" s="419"/>
      <c r="E27" s="426" t="s">
        <v>33</v>
      </c>
      <c r="F27" s="420"/>
      <c r="G27" s="421"/>
      <c r="H27" s="421"/>
      <c r="I27" s="421"/>
      <c r="J27" s="421"/>
      <c r="K27" s="421"/>
      <c r="L27" s="422"/>
      <c r="M27" s="423"/>
      <c r="N27" s="423"/>
      <c r="O27" s="422"/>
      <c r="P27" s="427"/>
      <c r="Q27" s="420"/>
      <c r="R27" s="422"/>
      <c r="S27" s="428" t="s">
        <v>34</v>
      </c>
      <c r="T27" s="23"/>
    </row>
    <row r="28" spans="1:20" ht="13.5" customHeight="1">
      <c r="A28" s="6"/>
      <c r="B28" s="425"/>
      <c r="C28" s="418"/>
      <c r="D28" s="419"/>
      <c r="E28" s="426" t="s">
        <v>35</v>
      </c>
      <c r="F28" s="420"/>
      <c r="G28" s="421"/>
      <c r="H28" s="421"/>
      <c r="I28" s="421"/>
      <c r="J28" s="421"/>
      <c r="K28" s="421"/>
      <c r="L28" s="422"/>
      <c r="M28" s="423"/>
      <c r="N28" s="423"/>
      <c r="O28" s="422"/>
      <c r="P28" s="427"/>
      <c r="Q28" s="420"/>
      <c r="R28" s="422"/>
      <c r="S28" s="423"/>
      <c r="T28" s="23"/>
    </row>
    <row r="29" spans="1:20" ht="13.5" customHeight="1">
      <c r="A29" s="6"/>
      <c r="B29" s="425"/>
      <c r="C29" s="418"/>
      <c r="D29" s="419"/>
      <c r="E29" s="426" t="s">
        <v>36</v>
      </c>
      <c r="F29" s="420"/>
      <c r="G29" s="421"/>
      <c r="H29" s="421"/>
      <c r="I29" s="421"/>
      <c r="J29" s="421"/>
      <c r="K29" s="421"/>
      <c r="L29" s="422"/>
      <c r="M29" s="423"/>
      <c r="N29" s="423"/>
      <c r="O29" s="422"/>
      <c r="P29" s="427"/>
      <c r="Q29" s="420"/>
      <c r="R29" s="422"/>
      <c r="S29" s="423"/>
      <c r="T29" s="23"/>
    </row>
    <row r="30" spans="1:20" ht="13.5" customHeight="1">
      <c r="A30" s="6"/>
      <c r="B30" s="425"/>
      <c r="C30" s="418"/>
      <c r="D30" s="419"/>
      <c r="E30" s="426" t="s">
        <v>37</v>
      </c>
      <c r="F30" s="420"/>
      <c r="G30" s="421"/>
      <c r="H30" s="421"/>
      <c r="I30" s="421"/>
      <c r="J30" s="421"/>
      <c r="K30" s="421"/>
      <c r="L30" s="422"/>
      <c r="M30" s="423"/>
      <c r="N30" s="423"/>
      <c r="O30" s="422"/>
      <c r="P30" s="427"/>
      <c r="Q30" s="420"/>
      <c r="R30" s="422"/>
      <c r="S30" s="423"/>
      <c r="T30" s="23"/>
    </row>
    <row r="31" spans="1:20" ht="13.5" customHeight="1">
      <c r="A31" s="6"/>
      <c r="B31" s="425"/>
      <c r="C31" s="418"/>
      <c r="D31" s="419"/>
      <c r="E31" s="426" t="s">
        <v>38</v>
      </c>
      <c r="F31" s="420"/>
      <c r="G31" s="421"/>
      <c r="H31" s="421"/>
      <c r="I31" s="421"/>
      <c r="J31" s="421"/>
      <c r="K31" s="421"/>
      <c r="L31" s="422"/>
      <c r="M31" s="423"/>
      <c r="N31" s="423"/>
      <c r="O31" s="422"/>
      <c r="P31" s="427"/>
      <c r="Q31" s="423"/>
      <c r="R31" s="422"/>
      <c r="S31" s="423"/>
      <c r="T31" s="23"/>
    </row>
    <row r="32" spans="1:20" ht="13.5" customHeight="1">
      <c r="A32" s="6"/>
      <c r="B32" s="425"/>
      <c r="C32" s="418"/>
      <c r="D32" s="419"/>
      <c r="E32" s="426" t="s">
        <v>39</v>
      </c>
      <c r="F32" s="420"/>
      <c r="G32" s="421"/>
      <c r="H32" s="421"/>
      <c r="I32" s="421"/>
      <c r="J32" s="421"/>
      <c r="K32" s="421"/>
      <c r="L32" s="422"/>
      <c r="M32" s="423"/>
      <c r="N32" s="423"/>
      <c r="O32" s="422"/>
      <c r="P32" s="427"/>
      <c r="Q32" s="423"/>
      <c r="R32" s="422"/>
      <c r="S32" s="423"/>
      <c r="T32" s="23"/>
    </row>
    <row r="33" spans="1:20" ht="13.5" customHeight="1">
      <c r="A33" s="6"/>
      <c r="B33" s="425"/>
      <c r="C33" s="418"/>
      <c r="D33" s="419"/>
      <c r="E33" s="426" t="s">
        <v>40</v>
      </c>
      <c r="F33" s="420"/>
      <c r="G33" s="421"/>
      <c r="H33" s="421"/>
      <c r="I33" s="421"/>
      <c r="J33" s="421"/>
      <c r="K33" s="421"/>
      <c r="L33" s="422"/>
      <c r="M33" s="423"/>
      <c r="N33" s="423"/>
      <c r="O33" s="422"/>
      <c r="P33" s="427"/>
      <c r="Q33" s="423"/>
      <c r="R33" s="422"/>
      <c r="S33" s="423"/>
      <c r="T33" s="23"/>
    </row>
    <row r="34" spans="1:20" ht="13.5" customHeight="1">
      <c r="A34" s="6"/>
      <c r="B34" s="425"/>
      <c r="C34" s="418"/>
      <c r="D34" s="419"/>
      <c r="E34" s="426" t="s">
        <v>41</v>
      </c>
      <c r="F34" s="420"/>
      <c r="G34" s="421"/>
      <c r="H34" s="421"/>
      <c r="I34" s="421"/>
      <c r="J34" s="421"/>
      <c r="K34" s="421"/>
      <c r="L34" s="422"/>
      <c r="M34" s="423"/>
      <c r="N34" s="423"/>
      <c r="O34" s="422"/>
      <c r="P34" s="427"/>
      <c r="Q34" s="423"/>
      <c r="R34" s="422"/>
      <c r="S34" s="423"/>
      <c r="T34" s="23"/>
    </row>
    <row r="35" spans="1:20" ht="13.5" customHeight="1">
      <c r="A35" s="6"/>
      <c r="B35" s="425"/>
      <c r="C35" s="418"/>
      <c r="D35" s="419"/>
      <c r="E35" s="421"/>
      <c r="F35" s="421"/>
      <c r="G35" s="421"/>
      <c r="H35" s="421"/>
      <c r="I35" s="421"/>
      <c r="J35" s="421"/>
      <c r="K35" s="421"/>
      <c r="L35" s="422"/>
      <c r="M35" s="423"/>
      <c r="N35" s="423"/>
      <c r="O35" s="422"/>
      <c r="P35" s="427"/>
      <c r="Q35" s="423"/>
      <c r="R35" s="422"/>
      <c r="S35" s="423"/>
      <c r="T35" s="23"/>
    </row>
    <row r="36" spans="1:20" ht="13.5" customHeight="1">
      <c r="A36" s="6"/>
      <c r="B36" s="425"/>
      <c r="C36" s="418"/>
      <c r="D36" s="419"/>
      <c r="E36" s="429"/>
      <c r="F36" s="429"/>
      <c r="G36" s="429"/>
      <c r="H36" s="429"/>
      <c r="I36" s="429"/>
      <c r="J36" s="429"/>
      <c r="K36" s="429"/>
      <c r="L36" s="430"/>
      <c r="M36" s="431"/>
      <c r="N36" s="431"/>
      <c r="O36" s="430"/>
      <c r="P36" s="432"/>
      <c r="Q36" s="431"/>
      <c r="R36" s="430"/>
      <c r="S36" s="431"/>
      <c r="T36" s="23"/>
    </row>
    <row r="37" spans="1:20" ht="13.5" customHeight="1">
      <c r="A37" s="6"/>
      <c r="B37" s="425"/>
      <c r="C37" s="418"/>
      <c r="D37" s="419"/>
      <c r="E37" s="429"/>
      <c r="F37" s="429"/>
      <c r="G37" s="429"/>
      <c r="H37" s="429"/>
      <c r="I37" s="429"/>
      <c r="J37" s="429"/>
      <c r="K37" s="429"/>
      <c r="L37" s="430"/>
      <c r="M37" s="431"/>
      <c r="N37" s="431"/>
      <c r="O37" s="430"/>
      <c r="P37" s="432"/>
      <c r="Q37" s="431"/>
      <c r="R37" s="430"/>
      <c r="S37" s="431"/>
      <c r="T37" s="23"/>
    </row>
    <row r="38" spans="1:20" ht="13.5" customHeight="1">
      <c r="A38" s="6"/>
      <c r="B38" s="425"/>
      <c r="C38" s="418"/>
      <c r="D38" s="419"/>
      <c r="E38" s="429"/>
      <c r="F38" s="429"/>
      <c r="G38" s="429"/>
      <c r="H38" s="429"/>
      <c r="I38" s="429"/>
      <c r="J38" s="429"/>
      <c r="K38" s="429"/>
      <c r="L38" s="430"/>
      <c r="M38" s="431"/>
      <c r="N38" s="431"/>
      <c r="O38" s="430"/>
      <c r="P38" s="431"/>
      <c r="Q38" s="431"/>
      <c r="R38" s="430"/>
      <c r="S38" s="431"/>
      <c r="T38" s="23"/>
    </row>
    <row r="39" spans="1:20" ht="13.5" customHeight="1">
      <c r="A39" s="6"/>
      <c r="B39" s="425"/>
      <c r="C39" s="418"/>
      <c r="D39" s="419"/>
      <c r="E39" s="429"/>
      <c r="F39" s="429"/>
      <c r="G39" s="429"/>
      <c r="H39" s="429"/>
      <c r="I39" s="429"/>
      <c r="J39" s="429"/>
      <c r="K39" s="429"/>
      <c r="L39" s="430"/>
      <c r="M39" s="431"/>
      <c r="N39" s="431"/>
      <c r="O39" s="430"/>
      <c r="P39" s="431"/>
      <c r="Q39" s="431"/>
      <c r="R39" s="430"/>
      <c r="S39" s="431"/>
      <c r="T39" s="23"/>
    </row>
    <row r="40" spans="1:20" ht="13.5" customHeight="1">
      <c r="A40" s="6"/>
      <c r="B40" s="425"/>
      <c r="C40" s="418"/>
      <c r="D40" s="419"/>
      <c r="E40" s="429"/>
      <c r="F40" s="429"/>
      <c r="G40" s="429"/>
      <c r="H40" s="429"/>
      <c r="I40" s="429"/>
      <c r="J40" s="429"/>
      <c r="K40" s="429"/>
      <c r="L40" s="430"/>
      <c r="M40" s="431"/>
      <c r="N40" s="431"/>
      <c r="O40" s="430"/>
      <c r="P40" s="431"/>
      <c r="Q40" s="431"/>
      <c r="R40" s="430"/>
      <c r="S40" s="431"/>
      <c r="T40" s="23"/>
    </row>
    <row r="41" spans="1:20" ht="13.5" customHeight="1">
      <c r="A41" s="6"/>
      <c r="B41" s="425"/>
      <c r="C41" s="418"/>
      <c r="D41" s="419"/>
      <c r="E41" s="429"/>
      <c r="F41" s="429"/>
      <c r="G41" s="429"/>
      <c r="H41" s="429"/>
      <c r="I41" s="429"/>
      <c r="J41" s="429"/>
      <c r="K41" s="429"/>
      <c r="L41" s="430"/>
      <c r="M41" s="431"/>
      <c r="N41" s="431"/>
      <c r="O41" s="430"/>
      <c r="P41" s="431"/>
      <c r="Q41" s="431"/>
      <c r="R41" s="430"/>
      <c r="S41" s="431"/>
      <c r="T41" s="23"/>
    </row>
    <row r="42" spans="1:20" ht="13.5" customHeight="1">
      <c r="A42" s="6"/>
      <c r="B42" s="425"/>
      <c r="C42" s="418"/>
      <c r="D42" s="419"/>
      <c r="E42" s="429"/>
      <c r="F42" s="429"/>
      <c r="G42" s="429"/>
      <c r="H42" s="429"/>
      <c r="I42" s="429"/>
      <c r="J42" s="429"/>
      <c r="K42" s="429"/>
      <c r="L42" s="430"/>
      <c r="M42" s="431"/>
      <c r="N42" s="431"/>
      <c r="O42" s="430"/>
      <c r="P42" s="431"/>
      <c r="Q42" s="431"/>
      <c r="R42" s="430"/>
      <c r="S42" s="431"/>
      <c r="T42" s="23"/>
    </row>
    <row r="43" spans="1:20" ht="13.5" customHeight="1">
      <c r="A43" s="6"/>
      <c r="B43" s="425"/>
      <c r="C43" s="418"/>
      <c r="D43" s="419"/>
      <c r="E43" s="429"/>
      <c r="F43" s="429"/>
      <c r="G43" s="429"/>
      <c r="H43" s="429"/>
      <c r="I43" s="429"/>
      <c r="J43" s="429"/>
      <c r="K43" s="429"/>
      <c r="L43" s="430"/>
      <c r="M43" s="431"/>
      <c r="N43" s="431"/>
      <c r="O43" s="430"/>
      <c r="P43" s="431"/>
      <c r="Q43" s="431"/>
      <c r="R43" s="430"/>
      <c r="S43" s="431"/>
      <c r="T43" s="23"/>
    </row>
    <row r="44" spans="1:20" ht="13.5" customHeight="1">
      <c r="A44" s="6"/>
      <c r="B44" s="425"/>
      <c r="C44" s="418"/>
      <c r="D44" s="419"/>
      <c r="E44" s="429"/>
      <c r="F44" s="429"/>
      <c r="G44" s="429"/>
      <c r="H44" s="429"/>
      <c r="I44" s="429"/>
      <c r="J44" s="429"/>
      <c r="K44" s="429"/>
      <c r="L44" s="430"/>
      <c r="M44" s="431"/>
      <c r="N44" s="431"/>
      <c r="O44" s="430"/>
      <c r="P44" s="431"/>
      <c r="Q44" s="431"/>
      <c r="R44" s="430"/>
      <c r="S44" s="431"/>
      <c r="T44" s="23"/>
    </row>
    <row r="45" spans="1:20" ht="13.5" customHeight="1">
      <c r="A45" s="6"/>
      <c r="B45" s="425"/>
      <c r="C45" s="418"/>
      <c r="D45" s="419"/>
      <c r="E45" s="429"/>
      <c r="F45" s="429"/>
      <c r="G45" s="429"/>
      <c r="H45" s="429"/>
      <c r="I45" s="429"/>
      <c r="J45" s="429"/>
      <c r="K45" s="429"/>
      <c r="L45" s="430"/>
      <c r="M45" s="431"/>
      <c r="N45" s="431"/>
      <c r="O45" s="430"/>
      <c r="P45" s="431"/>
      <c r="Q45" s="431"/>
      <c r="R45" s="430"/>
      <c r="S45" s="431"/>
      <c r="T45" s="23"/>
    </row>
    <row r="46" spans="1:20" ht="13.5" customHeight="1">
      <c r="A46" s="6"/>
      <c r="B46" s="425"/>
      <c r="C46" s="418"/>
      <c r="D46" s="419"/>
      <c r="E46" s="429"/>
      <c r="F46" s="429"/>
      <c r="G46" s="429"/>
      <c r="H46" s="429"/>
      <c r="I46" s="429"/>
      <c r="J46" s="429"/>
      <c r="K46" s="429"/>
      <c r="L46" s="430"/>
      <c r="M46" s="431"/>
      <c r="N46" s="431"/>
      <c r="O46" s="430"/>
      <c r="P46" s="431"/>
      <c r="Q46" s="431"/>
      <c r="R46" s="430"/>
      <c r="S46" s="431"/>
      <c r="T46" s="23"/>
    </row>
    <row r="47" spans="1:20" ht="13.5" customHeight="1">
      <c r="A47" s="6"/>
      <c r="B47" s="425"/>
      <c r="C47" s="418"/>
      <c r="D47" s="419"/>
      <c r="E47" s="429"/>
      <c r="F47" s="429"/>
      <c r="G47" s="429"/>
      <c r="H47" s="429"/>
      <c r="I47" s="429"/>
      <c r="J47" s="429"/>
      <c r="K47" s="429"/>
      <c r="L47" s="430"/>
      <c r="M47" s="431"/>
      <c r="N47" s="431"/>
      <c r="O47" s="430"/>
      <c r="P47" s="431"/>
      <c r="Q47" s="431"/>
      <c r="R47" s="430"/>
      <c r="S47" s="431"/>
      <c r="T47" s="23"/>
    </row>
    <row r="48" spans="1:20" ht="13.5" customHeight="1">
      <c r="A48" s="6"/>
      <c r="B48" s="425"/>
      <c r="C48" s="418"/>
      <c r="D48" s="419"/>
      <c r="E48" s="429"/>
      <c r="F48" s="429"/>
      <c r="G48" s="429"/>
      <c r="H48" s="429"/>
      <c r="I48" s="429"/>
      <c r="J48" s="429"/>
      <c r="K48" s="429"/>
      <c r="L48" s="430"/>
      <c r="M48" s="431"/>
      <c r="N48" s="431"/>
      <c r="O48" s="430"/>
      <c r="P48" s="431"/>
      <c r="Q48" s="431"/>
      <c r="R48" s="430"/>
      <c r="S48" s="431"/>
      <c r="T48" s="23"/>
    </row>
    <row r="49" spans="1:20" ht="6" customHeight="1">
      <c r="A49" s="6"/>
      <c r="B49" s="73"/>
      <c r="C49" s="73"/>
      <c r="D49" s="70"/>
      <c r="E49" s="50"/>
      <c r="F49" s="50"/>
      <c r="G49" s="50"/>
      <c r="H49" s="50"/>
      <c r="I49" s="50"/>
      <c r="J49" s="50"/>
      <c r="K49" s="50"/>
      <c r="L49" s="34"/>
      <c r="M49" s="51"/>
      <c r="N49" s="51"/>
      <c r="O49" s="34"/>
      <c r="P49" s="51"/>
      <c r="Q49" s="51"/>
      <c r="R49" s="34"/>
      <c r="S49" s="51"/>
      <c r="T49" s="23"/>
    </row>
    <row r="50" spans="1:20" ht="15" customHeight="1">
      <c r="A50" s="17"/>
      <c r="B50" s="447" t="s">
        <v>42</v>
      </c>
      <c r="C50" s="437"/>
      <c r="D50" s="437"/>
      <c r="E50" s="437"/>
      <c r="F50" s="437"/>
      <c r="G50" s="437"/>
      <c r="H50" s="437"/>
      <c r="I50" s="75"/>
      <c r="J50" s="441" t="s">
        <v>43</v>
      </c>
      <c r="K50" s="437"/>
      <c r="L50" s="437"/>
      <c r="M50" s="437"/>
      <c r="N50" s="437"/>
      <c r="O50" s="437"/>
      <c r="P50" s="437"/>
      <c r="Q50" s="437"/>
      <c r="R50" s="437"/>
      <c r="S50" s="437"/>
      <c r="T50" s="30"/>
    </row>
    <row r="51" spans="1:20" ht="12.75" customHeight="1">
      <c r="A51" s="6"/>
      <c r="B51" s="443" t="s">
        <v>44</v>
      </c>
      <c r="C51" s="437"/>
      <c r="D51" s="437"/>
      <c r="E51" s="437"/>
      <c r="F51" s="437"/>
      <c r="G51" s="437"/>
      <c r="H51" s="19"/>
      <c r="I51" s="29"/>
      <c r="J51" s="444" t="s">
        <v>45</v>
      </c>
      <c r="K51" s="437"/>
      <c r="L51" s="437"/>
      <c r="M51" s="437"/>
      <c r="N51" s="437"/>
      <c r="O51" s="437"/>
      <c r="P51" s="437"/>
      <c r="Q51" s="437"/>
      <c r="R51" s="437"/>
      <c r="S51" s="437"/>
      <c r="T51" s="31"/>
    </row>
    <row r="52" spans="1:20" ht="12.75" customHeight="1">
      <c r="A52" s="6"/>
      <c r="B52" s="443" t="s">
        <v>46</v>
      </c>
      <c r="C52" s="437"/>
      <c r="D52" s="437"/>
      <c r="E52" s="437"/>
      <c r="F52" s="437"/>
      <c r="G52" s="437"/>
      <c r="H52" s="19"/>
      <c r="I52" s="29"/>
      <c r="J52" s="448" t="s">
        <v>47</v>
      </c>
      <c r="K52" s="437"/>
      <c r="L52" s="437"/>
      <c r="M52" s="437"/>
      <c r="N52" s="437"/>
      <c r="O52" s="437"/>
      <c r="P52" s="437"/>
      <c r="Q52" s="437"/>
      <c r="R52" s="437"/>
      <c r="S52" s="437"/>
      <c r="T52" s="31"/>
    </row>
    <row r="53" spans="1:20" ht="12.75" customHeight="1">
      <c r="A53" s="6"/>
      <c r="B53" s="443" t="s">
        <v>48</v>
      </c>
      <c r="C53" s="437"/>
      <c r="D53" s="437"/>
      <c r="E53" s="437"/>
      <c r="F53" s="437"/>
      <c r="G53" s="437"/>
      <c r="H53" s="19"/>
      <c r="I53" s="29"/>
      <c r="J53" s="19"/>
      <c r="K53" s="20"/>
      <c r="L53" s="19"/>
      <c r="M53" s="19"/>
      <c r="N53" s="19"/>
      <c r="O53" s="19"/>
      <c r="P53" s="19"/>
      <c r="Q53" s="1"/>
      <c r="R53" s="19"/>
      <c r="S53" s="19"/>
      <c r="T53" s="21"/>
    </row>
    <row r="54" spans="1:20" ht="12.75" customHeight="1">
      <c r="A54" s="6"/>
      <c r="B54" s="443" t="s">
        <v>49</v>
      </c>
      <c r="C54" s="437"/>
      <c r="D54" s="437"/>
      <c r="E54" s="437"/>
      <c r="F54" s="437"/>
      <c r="G54" s="437"/>
      <c r="H54" s="19"/>
      <c r="I54" s="29"/>
      <c r="J54" s="19"/>
      <c r="K54" s="20"/>
      <c r="L54" s="19"/>
      <c r="M54" s="19"/>
      <c r="N54" s="19"/>
      <c r="O54" s="19"/>
      <c r="P54" s="19"/>
      <c r="Q54" s="19"/>
      <c r="R54" s="19"/>
      <c r="S54" s="19"/>
      <c r="T54" s="21"/>
    </row>
    <row r="55" spans="1:20" ht="12.75" customHeight="1">
      <c r="A55" s="6"/>
      <c r="B55" s="452" t="s">
        <v>50</v>
      </c>
      <c r="C55" s="437"/>
      <c r="D55" s="437"/>
      <c r="E55" s="437"/>
      <c r="F55" s="437"/>
      <c r="G55" s="437"/>
      <c r="H55" s="19"/>
      <c r="I55" s="29"/>
      <c r="J55" s="19"/>
      <c r="K55" s="20"/>
      <c r="L55" s="19"/>
      <c r="M55" s="19"/>
      <c r="N55" s="19"/>
      <c r="O55" s="19"/>
      <c r="P55" s="19"/>
      <c r="Q55" s="19"/>
      <c r="R55" s="19"/>
      <c r="S55" s="19"/>
      <c r="T55" s="21"/>
    </row>
    <row r="56" spans="1:20" ht="12.75" customHeight="1">
      <c r="A56" s="6"/>
      <c r="B56" s="463" t="s">
        <v>51</v>
      </c>
      <c r="C56" s="437"/>
      <c r="D56" s="437"/>
      <c r="E56" s="437"/>
      <c r="F56" s="437"/>
      <c r="G56" s="437"/>
      <c r="H56" s="19"/>
      <c r="I56" s="29"/>
      <c r="J56" s="19"/>
      <c r="K56" s="20"/>
      <c r="L56" s="19"/>
      <c r="M56" s="19"/>
      <c r="N56" s="19"/>
      <c r="O56" s="19"/>
      <c r="P56" s="19"/>
      <c r="Q56" s="19"/>
      <c r="R56" s="19"/>
      <c r="S56" s="19"/>
      <c r="T56" s="21"/>
    </row>
    <row r="57" spans="1:20" ht="9" customHeight="1">
      <c r="A57" s="6"/>
      <c r="B57" s="32"/>
      <c r="C57" s="32"/>
      <c r="D57" s="32"/>
      <c r="E57" s="32"/>
      <c r="F57" s="32"/>
      <c r="G57" s="32"/>
      <c r="H57" s="19"/>
      <c r="I57" s="29"/>
      <c r="J57" s="19"/>
      <c r="K57" s="20"/>
      <c r="L57" s="19"/>
      <c r="M57" s="19"/>
      <c r="N57" s="19"/>
      <c r="O57" s="19"/>
      <c r="P57" s="19"/>
      <c r="Q57" s="19"/>
      <c r="R57" s="19"/>
      <c r="S57" s="19"/>
      <c r="T57" s="21"/>
    </row>
    <row r="58" spans="1:20" ht="13.5" customHeight="1">
      <c r="A58" s="6"/>
      <c r="B58" s="32"/>
      <c r="C58" s="32"/>
      <c r="D58" s="32"/>
      <c r="E58" s="32"/>
      <c r="F58" s="32"/>
      <c r="G58" s="32"/>
      <c r="H58" s="19"/>
      <c r="I58" s="29"/>
      <c r="J58" s="19"/>
      <c r="K58" s="20"/>
      <c r="L58" s="19"/>
      <c r="M58" s="19"/>
      <c r="N58" s="19"/>
      <c r="O58" s="19"/>
      <c r="P58" s="19"/>
      <c r="Q58" s="19"/>
      <c r="R58" s="19"/>
      <c r="S58" s="19"/>
      <c r="T58" s="21"/>
    </row>
    <row r="59" spans="1:20" ht="13.5" customHeight="1">
      <c r="A59" s="6"/>
      <c r="B59" s="32"/>
      <c r="C59" s="32"/>
      <c r="D59" s="32"/>
      <c r="E59" s="32"/>
      <c r="F59" s="32"/>
      <c r="G59" s="32"/>
      <c r="H59" s="19"/>
      <c r="I59" s="29"/>
      <c r="J59" s="19"/>
      <c r="K59" s="20"/>
      <c r="L59" s="19"/>
      <c r="M59" s="19"/>
      <c r="N59" s="19"/>
      <c r="O59" s="19"/>
      <c r="P59" s="19"/>
      <c r="Q59" s="19"/>
      <c r="R59" s="19"/>
      <c r="S59" s="19"/>
      <c r="T59" s="21"/>
    </row>
    <row r="60" spans="1:20" ht="13.5" customHeight="1">
      <c r="A60" s="6"/>
      <c r="B60" s="32"/>
      <c r="C60" s="32"/>
      <c r="D60" s="32"/>
      <c r="E60" s="32"/>
      <c r="F60" s="32"/>
      <c r="G60" s="32"/>
      <c r="H60" s="19"/>
      <c r="I60" s="29"/>
      <c r="J60" s="19"/>
      <c r="K60" s="20"/>
      <c r="L60" s="19"/>
      <c r="M60" s="19"/>
      <c r="N60" s="19"/>
      <c r="O60" s="19"/>
      <c r="P60" s="19"/>
      <c r="Q60" s="19"/>
      <c r="R60" s="19"/>
      <c r="S60" s="19"/>
      <c r="T60" s="21"/>
    </row>
    <row r="61" spans="1:20" ht="13.5" customHeight="1">
      <c r="A61" s="6"/>
      <c r="B61" s="12"/>
      <c r="C61" s="12"/>
      <c r="D61" s="19"/>
      <c r="E61" s="19"/>
      <c r="F61" s="19"/>
      <c r="G61" s="19"/>
      <c r="H61" s="19"/>
      <c r="I61" s="29"/>
      <c r="J61" s="19"/>
      <c r="K61" s="20"/>
      <c r="L61" s="19"/>
      <c r="M61" s="19"/>
      <c r="N61" s="19"/>
      <c r="O61" s="19"/>
      <c r="P61" s="19"/>
      <c r="Q61" s="19"/>
      <c r="R61" s="19"/>
      <c r="S61" s="19"/>
      <c r="T61" s="21"/>
    </row>
    <row r="62" spans="1:20" ht="18.75" customHeight="1">
      <c r="A62" s="6"/>
      <c r="B62" s="456">
        <f ca="1">TODAY()</f>
        <v>45940</v>
      </c>
      <c r="C62" s="437"/>
      <c r="D62" s="437"/>
      <c r="E62" s="437"/>
      <c r="F62" s="437"/>
      <c r="G62" s="437"/>
      <c r="H62" s="19"/>
      <c r="I62" s="29"/>
      <c r="J62" s="446">
        <f ca="1">TODAY()</f>
        <v>45940</v>
      </c>
      <c r="K62" s="437"/>
      <c r="L62" s="437"/>
      <c r="M62" s="437"/>
      <c r="N62" s="437"/>
      <c r="O62" s="437"/>
      <c r="P62" s="437"/>
      <c r="Q62" s="437"/>
      <c r="R62" s="437"/>
      <c r="S62" s="437"/>
      <c r="T62" s="21"/>
    </row>
    <row r="63" spans="1:20" ht="16.5" customHeight="1">
      <c r="A63" s="6"/>
      <c r="B63" s="454" t="s">
        <v>52</v>
      </c>
      <c r="C63" s="437"/>
      <c r="D63" s="437"/>
      <c r="E63" s="437"/>
      <c r="F63" s="437"/>
      <c r="G63" s="437"/>
      <c r="H63" s="19"/>
      <c r="I63" s="29"/>
      <c r="J63" s="454" t="s">
        <v>53</v>
      </c>
      <c r="K63" s="437"/>
      <c r="L63" s="437"/>
      <c r="M63" s="437"/>
      <c r="N63" s="437"/>
      <c r="O63" s="437"/>
      <c r="P63" s="437"/>
      <c r="Q63" s="437"/>
      <c r="R63" s="437"/>
      <c r="S63" s="437"/>
      <c r="T63" s="21"/>
    </row>
    <row r="64" spans="1:20" ht="6.75" customHeight="1">
      <c r="A64" s="7"/>
      <c r="B64" s="24"/>
      <c r="C64" s="24"/>
      <c r="D64" s="24"/>
      <c r="E64" s="24"/>
      <c r="F64" s="24"/>
      <c r="G64" s="24"/>
      <c r="H64" s="24"/>
      <c r="I64" s="7"/>
      <c r="J64" s="24"/>
      <c r="K64" s="24"/>
      <c r="L64" s="24"/>
      <c r="M64" s="24"/>
      <c r="N64" s="24"/>
      <c r="O64" s="24"/>
      <c r="P64" s="24"/>
      <c r="Q64" s="24"/>
      <c r="R64" s="24"/>
      <c r="S64" s="24"/>
      <c r="T64" s="25"/>
    </row>
    <row r="65" spans="2:20" ht="12.75" customHeight="1">
      <c r="B65" s="33"/>
      <c r="C65" s="33"/>
      <c r="D65" s="9"/>
      <c r="E65" s="9"/>
      <c r="F65" s="9"/>
      <c r="G65" s="9"/>
      <c r="H65" s="9"/>
      <c r="I65" s="9"/>
      <c r="J65" s="9"/>
      <c r="K65" s="9"/>
      <c r="L65" s="9"/>
      <c r="M65" s="9"/>
      <c r="N65" s="9"/>
      <c r="O65" s="9"/>
      <c r="P65" s="9"/>
      <c r="Q65" s="55"/>
      <c r="R65" s="9"/>
      <c r="S65" s="370" t="s">
        <v>54</v>
      </c>
      <c r="T65" s="9"/>
    </row>
  </sheetData>
  <mergeCells count="29">
    <mergeCell ref="B63:G63"/>
    <mergeCell ref="B62:G62"/>
    <mergeCell ref="B3:G3"/>
    <mergeCell ref="B16:G16"/>
    <mergeCell ref="B54:G54"/>
    <mergeCell ref="E24:J24"/>
    <mergeCell ref="B17:F18"/>
    <mergeCell ref="I2:T4"/>
    <mergeCell ref="B56:G56"/>
    <mergeCell ref="B52:G52"/>
    <mergeCell ref="J63:S63"/>
    <mergeCell ref="B53:G53"/>
    <mergeCell ref="J51:S51"/>
    <mergeCell ref="J19:S22"/>
    <mergeCell ref="J62:S62"/>
    <mergeCell ref="B50:H50"/>
    <mergeCell ref="J52:S52"/>
    <mergeCell ref="B55:G55"/>
    <mergeCell ref="E25:J25"/>
    <mergeCell ref="B51:G51"/>
    <mergeCell ref="B2:G2"/>
    <mergeCell ref="B5:G6"/>
    <mergeCell ref="J13:S16"/>
    <mergeCell ref="B8:G8"/>
    <mergeCell ref="J50:S50"/>
    <mergeCell ref="J12:S12"/>
    <mergeCell ref="B9:G9"/>
    <mergeCell ref="J17:S17"/>
    <mergeCell ref="J6:S11"/>
  </mergeCells>
  <printOptions horizontalCentered="1"/>
  <pageMargins left="7.874015748031496E-2" right="7.874015748031496E-2" top="0.31496062992125978" bottom="7.874015748031496E-2" header="0" footer="0"/>
  <pageSetup paperSize="9" scale="91"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P69"/>
  <sheetViews>
    <sheetView view="pageBreakPreview" zoomScale="145" zoomScaleNormal="145" zoomScaleSheetLayoutView="145" workbookViewId="0">
      <selection activeCell="D14" sqref="D14"/>
    </sheetView>
  </sheetViews>
  <sheetFormatPr defaultColWidth="9.33203125" defaultRowHeight="12.75"/>
  <cols>
    <col min="1" max="1" width="0.5" style="79" customWidth="1"/>
    <col min="2" max="2" width="13.5" style="79" customWidth="1"/>
    <col min="3" max="3" width="0.5" style="79" customWidth="1"/>
    <col min="4" max="4" width="18.33203125" style="79" customWidth="1"/>
    <col min="5" max="5" width="0.5" style="79" customWidth="1"/>
    <col min="6" max="6" width="23.5" style="79" customWidth="1"/>
    <col min="7" max="7" width="0.83203125" style="79" customWidth="1"/>
    <col min="8" max="8" width="0.5" style="79" customWidth="1"/>
    <col min="9" max="9" width="13.5" style="79" customWidth="1"/>
    <col min="10" max="10" width="3" style="79" customWidth="1"/>
    <col min="11" max="11" width="0.5" style="79" customWidth="1"/>
    <col min="12" max="12" width="13" style="79" customWidth="1"/>
    <col min="13" max="13" width="0.5" style="79" customWidth="1"/>
    <col min="14" max="14" width="13.33203125" style="79" customWidth="1"/>
    <col min="15" max="15" width="0.5" style="79" customWidth="1"/>
    <col min="16" max="16" width="12.6640625" style="79" customWidth="1"/>
    <col min="17" max="17" width="16.1640625" style="79" customWidth="1"/>
    <col min="18" max="18" width="3.33203125" style="79" customWidth="1"/>
    <col min="19" max="53" width="9.33203125" style="79" customWidth="1"/>
    <col min="54" max="16384" width="9.33203125" style="79"/>
  </cols>
  <sheetData>
    <row r="1" spans="1:16" ht="24" customHeight="1">
      <c r="B1" s="474" t="s">
        <v>62</v>
      </c>
      <c r="C1" s="465"/>
      <c r="D1" s="465"/>
      <c r="E1" s="465"/>
      <c r="F1" s="465"/>
      <c r="G1" s="465"/>
      <c r="H1" s="465"/>
      <c r="I1" s="465"/>
      <c r="J1" s="465"/>
      <c r="K1" s="465"/>
      <c r="L1" s="465"/>
      <c r="M1" s="465"/>
      <c r="N1" s="465"/>
      <c r="O1" s="465"/>
      <c r="P1" s="465"/>
    </row>
    <row r="2" spans="1:16" ht="13.5" customHeight="1">
      <c r="A2" s="80"/>
      <c r="B2" s="467" t="s">
        <v>63</v>
      </c>
      <c r="C2" s="435"/>
      <c r="D2" s="435"/>
      <c r="E2" s="435"/>
      <c r="F2" s="435"/>
      <c r="G2" s="458"/>
      <c r="H2" s="81"/>
      <c r="I2" s="472" t="s">
        <v>1</v>
      </c>
      <c r="J2" s="435"/>
      <c r="K2" s="82"/>
      <c r="L2" s="83"/>
      <c r="M2" s="83"/>
      <c r="N2" s="83"/>
      <c r="O2" s="83"/>
      <c r="P2" s="84"/>
    </row>
    <row r="3" spans="1:16" ht="4.5" customHeight="1">
      <c r="A3" s="86"/>
      <c r="B3" s="465"/>
      <c r="C3" s="465"/>
      <c r="D3" s="465"/>
      <c r="E3" s="465"/>
      <c r="F3" s="465"/>
      <c r="G3" s="460"/>
      <c r="H3" s="87"/>
      <c r="I3" s="87"/>
      <c r="J3" s="89"/>
      <c r="K3" s="89"/>
      <c r="L3" s="89"/>
      <c r="M3" s="89"/>
      <c r="N3" s="89"/>
      <c r="O3" s="89"/>
      <c r="P3" s="90"/>
    </row>
    <row r="4" spans="1:16" ht="11.25" customHeight="1">
      <c r="A4" s="86"/>
      <c r="B4" s="91"/>
      <c r="C4" s="91"/>
      <c r="D4" s="91"/>
      <c r="E4" s="91"/>
      <c r="F4" s="91"/>
      <c r="G4" s="92"/>
      <c r="H4" s="93"/>
      <c r="I4" s="94"/>
      <c r="L4" s="95"/>
      <c r="M4" s="95"/>
      <c r="N4" s="95"/>
      <c r="O4" s="95"/>
      <c r="P4" s="96"/>
    </row>
    <row r="5" spans="1:16" ht="11.25" customHeight="1">
      <c r="A5" s="86"/>
      <c r="B5" s="94"/>
      <c r="C5" s="94"/>
      <c r="D5" s="94"/>
      <c r="E5" s="94"/>
      <c r="F5" s="94"/>
      <c r="G5" s="98"/>
      <c r="H5" s="94"/>
      <c r="I5" s="476" t="s">
        <v>64</v>
      </c>
      <c r="J5" s="465"/>
      <c r="K5" s="465"/>
      <c r="L5" s="465"/>
      <c r="M5" s="465"/>
      <c r="N5" s="465"/>
      <c r="O5" s="465"/>
      <c r="P5" s="460"/>
    </row>
    <row r="6" spans="1:16" ht="11.25" customHeight="1">
      <c r="A6" s="86"/>
      <c r="B6" s="94"/>
      <c r="C6" s="94"/>
      <c r="D6" s="94"/>
      <c r="E6" s="94"/>
      <c r="F6" s="94"/>
      <c r="G6" s="98"/>
      <c r="H6" s="94"/>
      <c r="I6" s="465"/>
      <c r="J6" s="465"/>
      <c r="K6" s="465"/>
      <c r="L6" s="465"/>
      <c r="M6" s="465"/>
      <c r="N6" s="465"/>
      <c r="O6" s="465"/>
      <c r="P6" s="460"/>
    </row>
    <row r="7" spans="1:16" ht="11.25" customHeight="1">
      <c r="A7" s="86"/>
      <c r="B7" s="94"/>
      <c r="C7" s="94"/>
      <c r="D7" s="94"/>
      <c r="E7" s="94"/>
      <c r="F7" s="94"/>
      <c r="G7" s="98"/>
      <c r="H7" s="94"/>
      <c r="I7" s="465"/>
      <c r="J7" s="465"/>
      <c r="K7" s="465"/>
      <c r="L7" s="465"/>
      <c r="M7" s="465"/>
      <c r="N7" s="465"/>
      <c r="O7" s="465"/>
      <c r="P7" s="460"/>
    </row>
    <row r="8" spans="1:16" ht="11.25" customHeight="1">
      <c r="A8" s="86"/>
      <c r="B8" s="94"/>
      <c r="C8" s="94"/>
      <c r="D8" s="94"/>
      <c r="E8" s="94"/>
      <c r="F8" s="94"/>
      <c r="G8" s="98"/>
      <c r="H8" s="94"/>
      <c r="I8" s="465"/>
      <c r="J8" s="465"/>
      <c r="K8" s="465"/>
      <c r="L8" s="465"/>
      <c r="M8" s="465"/>
      <c r="N8" s="465"/>
      <c r="O8" s="465"/>
      <c r="P8" s="460"/>
    </row>
    <row r="9" spans="1:16" ht="11.25" customHeight="1">
      <c r="A9" s="86"/>
      <c r="B9" s="94"/>
      <c r="C9" s="94"/>
      <c r="D9" s="94"/>
      <c r="E9" s="94"/>
      <c r="F9" s="94"/>
      <c r="G9" s="98"/>
      <c r="H9" s="93"/>
      <c r="I9" s="466" t="s">
        <v>65</v>
      </c>
      <c r="J9" s="465"/>
      <c r="K9" s="465"/>
      <c r="L9" s="465"/>
      <c r="M9" s="465"/>
      <c r="N9" s="465"/>
      <c r="O9" s="465"/>
      <c r="P9" s="460"/>
    </row>
    <row r="10" spans="1:16" ht="13.5" customHeight="1">
      <c r="A10" s="80"/>
      <c r="B10" s="468" t="s">
        <v>66</v>
      </c>
      <c r="C10" s="469"/>
      <c r="D10" s="469"/>
      <c r="E10" s="469"/>
      <c r="F10" s="469"/>
      <c r="G10" s="470"/>
      <c r="H10" s="99"/>
      <c r="I10" s="465"/>
      <c r="J10" s="465"/>
      <c r="K10" s="465"/>
      <c r="L10" s="465"/>
      <c r="M10" s="465"/>
      <c r="N10" s="465"/>
      <c r="O10" s="465"/>
      <c r="P10" s="460"/>
    </row>
    <row r="11" spans="1:16" ht="4.5" customHeight="1">
      <c r="A11" s="86"/>
      <c r="B11" s="465"/>
      <c r="C11" s="465"/>
      <c r="D11" s="465"/>
      <c r="E11" s="465"/>
      <c r="F11" s="465"/>
      <c r="G11" s="460"/>
      <c r="H11" s="99"/>
      <c r="I11" s="465"/>
      <c r="J11" s="465"/>
      <c r="K11" s="465"/>
      <c r="L11" s="465"/>
      <c r="M11" s="465"/>
      <c r="N11" s="465"/>
      <c r="O11" s="465"/>
      <c r="P11" s="460"/>
    </row>
    <row r="12" spans="1:16" ht="11.25" customHeight="1">
      <c r="A12" s="86"/>
      <c r="B12" s="99"/>
      <c r="C12" s="99"/>
      <c r="D12" s="99"/>
      <c r="E12" s="99"/>
      <c r="F12" s="99"/>
      <c r="G12" s="100"/>
      <c r="H12" s="99"/>
      <c r="I12" s="465"/>
      <c r="J12" s="465"/>
      <c r="K12" s="465"/>
      <c r="L12" s="465"/>
      <c r="M12" s="465"/>
      <c r="N12" s="465"/>
      <c r="O12" s="465"/>
      <c r="P12" s="460"/>
    </row>
    <row r="13" spans="1:16" ht="11.25" customHeight="1">
      <c r="A13" s="86"/>
      <c r="B13" s="99"/>
      <c r="C13" s="99"/>
      <c r="D13" s="99"/>
      <c r="E13" s="99"/>
      <c r="F13" s="99"/>
      <c r="G13" s="100"/>
      <c r="H13" s="99"/>
      <c r="I13" s="465"/>
      <c r="J13" s="465"/>
      <c r="K13" s="465"/>
      <c r="L13" s="465"/>
      <c r="M13" s="465"/>
      <c r="N13" s="465"/>
      <c r="O13" s="465"/>
      <c r="P13" s="460"/>
    </row>
    <row r="14" spans="1:16" ht="11.25" customHeight="1">
      <c r="A14" s="86"/>
      <c r="B14" s="99"/>
      <c r="C14" s="99"/>
      <c r="D14" s="99"/>
      <c r="E14" s="99"/>
      <c r="F14" s="99"/>
      <c r="G14" s="100"/>
      <c r="H14" s="99"/>
      <c r="I14" s="465"/>
      <c r="J14" s="465"/>
      <c r="K14" s="465"/>
      <c r="L14" s="465"/>
      <c r="M14" s="465"/>
      <c r="N14" s="465"/>
      <c r="O14" s="465"/>
      <c r="P14" s="460"/>
    </row>
    <row r="15" spans="1:16" ht="11.25" customHeight="1">
      <c r="A15" s="86"/>
      <c r="B15" s="99"/>
      <c r="C15" s="99"/>
      <c r="D15" s="99"/>
      <c r="E15" s="99"/>
      <c r="F15" s="99"/>
      <c r="G15" s="100"/>
      <c r="H15" s="99"/>
      <c r="I15" s="465"/>
      <c r="J15" s="465"/>
      <c r="K15" s="465"/>
      <c r="L15" s="465"/>
      <c r="M15" s="465"/>
      <c r="N15" s="465"/>
      <c r="O15" s="465"/>
      <c r="P15" s="460"/>
    </row>
    <row r="16" spans="1:16" ht="11.25" customHeight="1">
      <c r="A16" s="86"/>
      <c r="B16" s="99"/>
      <c r="C16" s="99"/>
      <c r="D16" s="99"/>
      <c r="E16" s="99"/>
      <c r="F16" s="99"/>
      <c r="G16" s="100"/>
      <c r="H16" s="99"/>
      <c r="I16" s="465"/>
      <c r="J16" s="465"/>
      <c r="K16" s="465"/>
      <c r="L16" s="465"/>
      <c r="M16" s="465"/>
      <c r="N16" s="465"/>
      <c r="O16" s="465"/>
      <c r="P16" s="460"/>
    </row>
    <row r="17" spans="1:16" ht="11.25" customHeight="1">
      <c r="A17" s="86"/>
      <c r="B17" s="101"/>
      <c r="C17" s="101"/>
      <c r="D17" s="101"/>
      <c r="E17" s="101"/>
      <c r="F17" s="101"/>
      <c r="G17" s="102"/>
      <c r="H17" s="103"/>
      <c r="I17" s="99"/>
      <c r="J17" s="97"/>
      <c r="K17" s="97"/>
      <c r="L17" s="97"/>
      <c r="M17" s="97"/>
      <c r="N17" s="97"/>
      <c r="O17" s="97"/>
      <c r="P17" s="104"/>
    </row>
    <row r="18" spans="1:16" ht="13.5" customHeight="1">
      <c r="A18" s="80"/>
      <c r="B18" s="475" t="s">
        <v>67</v>
      </c>
      <c r="C18" s="435"/>
      <c r="D18" s="435"/>
      <c r="E18" s="435"/>
      <c r="F18" s="435"/>
      <c r="G18" s="435"/>
      <c r="H18" s="105"/>
      <c r="I18" s="464" t="s">
        <v>68</v>
      </c>
      <c r="J18" s="435"/>
      <c r="K18" s="435"/>
      <c r="L18" s="435"/>
      <c r="M18" s="435"/>
      <c r="N18" s="435"/>
      <c r="O18" s="435"/>
      <c r="P18" s="458"/>
    </row>
    <row r="19" spans="1:16" ht="4.5" customHeight="1">
      <c r="A19" s="86"/>
      <c r="B19" s="465"/>
      <c r="C19" s="465"/>
      <c r="D19" s="465"/>
      <c r="E19" s="465"/>
      <c r="F19" s="465"/>
      <c r="G19" s="465"/>
      <c r="H19" s="107"/>
      <c r="I19" s="465"/>
      <c r="J19" s="465"/>
      <c r="K19" s="465"/>
      <c r="L19" s="465"/>
      <c r="M19" s="465"/>
      <c r="N19" s="465"/>
      <c r="O19" s="465"/>
      <c r="P19" s="460"/>
    </row>
    <row r="20" spans="1:16" ht="7.5" customHeight="1">
      <c r="A20" s="86"/>
      <c r="D20" s="85"/>
      <c r="E20" s="85"/>
      <c r="F20" s="85"/>
      <c r="G20" s="85"/>
      <c r="H20" s="107"/>
      <c r="J20" s="97"/>
      <c r="K20" s="97"/>
      <c r="L20" s="97"/>
      <c r="M20" s="97"/>
      <c r="N20" s="97"/>
      <c r="O20" s="97"/>
      <c r="P20" s="104"/>
    </row>
    <row r="21" spans="1:16" ht="11.25" customHeight="1">
      <c r="A21" s="86"/>
      <c r="B21" s="108" t="s">
        <v>69</v>
      </c>
      <c r="C21" s="108"/>
      <c r="D21" s="109">
        <v>45823</v>
      </c>
      <c r="E21" s="85"/>
      <c r="F21" s="85"/>
      <c r="G21" s="85"/>
      <c r="H21" s="107"/>
      <c r="I21" s="110" t="s">
        <v>70</v>
      </c>
      <c r="J21" s="97"/>
      <c r="K21" s="97"/>
      <c r="L21" s="97"/>
      <c r="M21" s="97"/>
      <c r="N21" s="97"/>
      <c r="O21" s="97"/>
      <c r="P21" s="104"/>
    </row>
    <row r="22" spans="1:16" ht="5.25" customHeight="1">
      <c r="A22" s="86"/>
      <c r="B22" s="111"/>
      <c r="C22" s="111"/>
      <c r="D22" s="85"/>
      <c r="E22" s="85"/>
      <c r="F22" s="85"/>
      <c r="G22" s="85"/>
      <c r="H22" s="107"/>
      <c r="I22" s="99"/>
      <c r="J22" s="97"/>
      <c r="K22" s="97"/>
      <c r="L22" s="97"/>
      <c r="M22" s="97"/>
      <c r="N22" s="97"/>
      <c r="O22" s="97"/>
      <c r="P22" s="104"/>
    </row>
    <row r="23" spans="1:16" ht="11.25" customHeight="1">
      <c r="A23" s="86"/>
      <c r="B23" s="112" t="s">
        <v>15</v>
      </c>
      <c r="C23" s="108"/>
      <c r="D23" s="85"/>
      <c r="E23" s="85"/>
      <c r="F23" s="85"/>
      <c r="G23" s="85"/>
      <c r="H23" s="107"/>
      <c r="I23" s="473" t="s">
        <v>71</v>
      </c>
      <c r="J23" s="465"/>
      <c r="K23" s="465"/>
      <c r="L23" s="465"/>
      <c r="M23" s="465"/>
      <c r="N23" s="465"/>
      <c r="O23" s="465"/>
      <c r="P23" s="460"/>
    </row>
    <row r="24" spans="1:16" ht="5.25" customHeight="1">
      <c r="A24" s="86"/>
      <c r="B24" s="111"/>
      <c r="C24" s="111"/>
      <c r="H24" s="113"/>
      <c r="I24" s="465"/>
      <c r="J24" s="465"/>
      <c r="K24" s="465"/>
      <c r="L24" s="465"/>
      <c r="M24" s="465"/>
      <c r="N24" s="465"/>
      <c r="O24" s="465"/>
      <c r="P24" s="460"/>
    </row>
    <row r="25" spans="1:16" ht="11.25" customHeight="1">
      <c r="A25" s="86"/>
      <c r="B25" s="112" t="s">
        <v>17</v>
      </c>
      <c r="C25" s="112"/>
      <c r="H25" s="113"/>
      <c r="I25" s="85"/>
      <c r="J25" s="114"/>
      <c r="K25" s="114"/>
      <c r="L25" s="114"/>
      <c r="M25" s="114"/>
      <c r="N25" s="114"/>
      <c r="O25" s="114"/>
      <c r="P25" s="115"/>
    </row>
    <row r="26" spans="1:16" ht="18.75" customHeight="1">
      <c r="A26" s="86"/>
      <c r="B26" s="85"/>
      <c r="C26" s="85"/>
      <c r="D26" s="85"/>
      <c r="E26" s="85"/>
      <c r="F26" s="85"/>
      <c r="G26" s="85"/>
      <c r="H26" s="113"/>
      <c r="I26" s="116" t="s">
        <v>72</v>
      </c>
      <c r="J26" s="117"/>
      <c r="K26" s="117"/>
      <c r="L26" s="117"/>
      <c r="M26" s="117"/>
      <c r="N26" s="117"/>
      <c r="O26" s="117"/>
      <c r="P26" s="118"/>
    </row>
    <row r="27" spans="1:16" ht="6.75" customHeight="1">
      <c r="A27" s="80"/>
      <c r="B27" s="119"/>
      <c r="C27" s="120"/>
      <c r="D27" s="120"/>
      <c r="E27" s="121"/>
      <c r="F27" s="120"/>
      <c r="G27" s="120"/>
      <c r="H27" s="120"/>
      <c r="I27" s="122"/>
      <c r="J27" s="123"/>
      <c r="K27" s="124"/>
      <c r="L27" s="123"/>
      <c r="M27" s="124"/>
      <c r="N27" s="123"/>
      <c r="O27" s="124"/>
      <c r="P27" s="125"/>
    </row>
    <row r="28" spans="1:16" ht="42" customHeight="1">
      <c r="A28" s="126"/>
      <c r="B28" s="102" t="s">
        <v>73</v>
      </c>
      <c r="C28" s="101"/>
      <c r="D28" s="101" t="s">
        <v>74</v>
      </c>
      <c r="E28" s="127"/>
      <c r="F28" s="478" t="s">
        <v>75</v>
      </c>
      <c r="G28" s="439"/>
      <c r="H28" s="439"/>
      <c r="I28" s="439"/>
      <c r="J28" s="128"/>
      <c r="K28" s="127"/>
      <c r="L28" s="265" t="s">
        <v>76</v>
      </c>
      <c r="M28" s="130"/>
      <c r="N28" s="101" t="s">
        <v>77</v>
      </c>
      <c r="O28" s="127"/>
      <c r="P28" s="102" t="s">
        <v>78</v>
      </c>
    </row>
    <row r="29" spans="1:16" ht="15" customHeight="1">
      <c r="A29" s="86"/>
      <c r="B29" s="131"/>
      <c r="C29" s="107"/>
      <c r="D29" s="100"/>
      <c r="E29" s="99"/>
      <c r="F29" s="99"/>
      <c r="G29" s="99"/>
      <c r="H29" s="99"/>
      <c r="I29" s="99"/>
      <c r="J29" s="99"/>
      <c r="K29" s="107"/>
      <c r="L29" s="132"/>
      <c r="M29" s="85"/>
      <c r="N29" s="99"/>
      <c r="O29" s="107"/>
      <c r="P29" s="100"/>
    </row>
    <row r="30" spans="1:16" ht="15" customHeight="1">
      <c r="A30" s="86"/>
      <c r="B30" s="131">
        <v>1</v>
      </c>
      <c r="C30" s="133"/>
      <c r="D30" s="88"/>
      <c r="E30" s="87"/>
      <c r="F30" s="87"/>
      <c r="G30" s="87"/>
      <c r="H30" s="87"/>
      <c r="I30" s="87"/>
      <c r="J30" s="87"/>
      <c r="K30" s="133"/>
      <c r="L30" s="134"/>
      <c r="M30" s="106"/>
      <c r="N30" s="87"/>
      <c r="O30" s="133"/>
      <c r="P30" s="88"/>
    </row>
    <row r="31" spans="1:16" ht="15" customHeight="1">
      <c r="A31" s="86"/>
      <c r="B31" s="131"/>
      <c r="C31" s="133"/>
      <c r="D31" s="88"/>
      <c r="E31" s="87"/>
      <c r="F31" s="87"/>
      <c r="G31" s="87"/>
      <c r="H31" s="87"/>
      <c r="I31" s="87"/>
      <c r="J31" s="87"/>
      <c r="K31" s="133"/>
      <c r="L31" s="134"/>
      <c r="M31" s="106"/>
      <c r="N31" s="87"/>
      <c r="O31" s="133"/>
      <c r="P31" s="88"/>
    </row>
    <row r="32" spans="1:16" ht="15" customHeight="1">
      <c r="A32" s="86"/>
      <c r="B32" s="131"/>
      <c r="C32" s="133"/>
      <c r="D32" s="88"/>
      <c r="E32" s="87"/>
      <c r="F32" s="87"/>
      <c r="G32" s="87"/>
      <c r="H32" s="87"/>
      <c r="I32" s="87"/>
      <c r="J32" s="87"/>
      <c r="K32" s="133"/>
      <c r="L32" s="134"/>
      <c r="M32" s="106"/>
      <c r="N32" s="87"/>
      <c r="O32" s="133"/>
      <c r="P32" s="88"/>
    </row>
    <row r="33" spans="1:16" ht="15" customHeight="1">
      <c r="A33" s="86"/>
      <c r="B33" s="131"/>
      <c r="C33" s="133"/>
      <c r="D33" s="88"/>
      <c r="E33" s="87"/>
      <c r="F33" s="87"/>
      <c r="G33" s="87"/>
      <c r="H33" s="87"/>
      <c r="I33" s="87"/>
      <c r="J33" s="87"/>
      <c r="K33" s="133"/>
      <c r="L33" s="134"/>
      <c r="M33" s="106"/>
      <c r="N33" s="87"/>
      <c r="O33" s="133"/>
      <c r="P33" s="88"/>
    </row>
    <row r="34" spans="1:16" ht="15" customHeight="1">
      <c r="A34" s="86"/>
      <c r="B34" s="131"/>
      <c r="C34" s="133"/>
      <c r="D34" s="88"/>
      <c r="E34" s="87"/>
      <c r="F34" s="87"/>
      <c r="G34" s="87"/>
      <c r="H34" s="87"/>
      <c r="I34" s="87"/>
      <c r="J34" s="87"/>
      <c r="K34" s="133"/>
      <c r="L34" s="134"/>
      <c r="M34" s="106"/>
      <c r="N34" s="87"/>
      <c r="O34" s="133"/>
      <c r="P34" s="88"/>
    </row>
    <row r="35" spans="1:16" ht="15" customHeight="1">
      <c r="A35" s="86"/>
      <c r="B35" s="131"/>
      <c r="C35" s="133"/>
      <c r="D35" s="88"/>
      <c r="E35" s="87"/>
      <c r="F35" s="87"/>
      <c r="G35" s="87"/>
      <c r="H35" s="87"/>
      <c r="I35" s="87"/>
      <c r="J35" s="87"/>
      <c r="K35" s="133"/>
      <c r="L35" s="134"/>
      <c r="M35" s="106"/>
      <c r="N35" s="87"/>
      <c r="O35" s="133"/>
      <c r="P35" s="88"/>
    </row>
    <row r="36" spans="1:16" ht="15" customHeight="1">
      <c r="A36" s="86"/>
      <c r="B36" s="131"/>
      <c r="C36" s="133"/>
      <c r="D36" s="88"/>
      <c r="E36" s="87"/>
      <c r="F36" s="87"/>
      <c r="G36" s="87"/>
      <c r="H36" s="87"/>
      <c r="I36" s="87"/>
      <c r="J36" s="87"/>
      <c r="K36" s="133"/>
      <c r="L36" s="134"/>
      <c r="M36" s="106"/>
      <c r="N36" s="87"/>
      <c r="O36" s="133"/>
      <c r="P36" s="88"/>
    </row>
    <row r="37" spans="1:16" ht="15" customHeight="1">
      <c r="A37" s="86"/>
      <c r="B37" s="131"/>
      <c r="C37" s="133"/>
      <c r="D37" s="88"/>
      <c r="E37" s="87"/>
      <c r="F37" s="87"/>
      <c r="G37" s="87"/>
      <c r="H37" s="87"/>
      <c r="I37" s="87"/>
      <c r="J37" s="87"/>
      <c r="K37" s="133"/>
      <c r="L37" s="134"/>
      <c r="M37" s="106"/>
      <c r="N37" s="87"/>
      <c r="O37" s="133"/>
      <c r="P37" s="88"/>
    </row>
    <row r="38" spans="1:16" ht="15" customHeight="1">
      <c r="A38" s="86"/>
      <c r="B38" s="131"/>
      <c r="C38" s="133"/>
      <c r="D38" s="88"/>
      <c r="E38" s="87"/>
      <c r="F38" s="87"/>
      <c r="G38" s="87"/>
      <c r="H38" s="87"/>
      <c r="I38" s="87"/>
      <c r="J38" s="87"/>
      <c r="K38" s="133"/>
      <c r="L38" s="134"/>
      <c r="M38" s="106"/>
      <c r="N38" s="87"/>
      <c r="O38" s="133"/>
      <c r="P38" s="88"/>
    </row>
    <row r="39" spans="1:16" ht="15" customHeight="1">
      <c r="A39" s="86"/>
      <c r="B39" s="131"/>
      <c r="C39" s="133"/>
      <c r="D39" s="88"/>
      <c r="E39" s="87"/>
      <c r="F39" s="87"/>
      <c r="G39" s="87"/>
      <c r="H39" s="87"/>
      <c r="I39" s="87"/>
      <c r="J39" s="87"/>
      <c r="K39" s="133"/>
      <c r="L39" s="134"/>
      <c r="M39" s="106"/>
      <c r="N39" s="87"/>
      <c r="O39" s="133"/>
      <c r="P39" s="88"/>
    </row>
    <row r="40" spans="1:16" ht="15" customHeight="1">
      <c r="A40" s="86"/>
      <c r="B40" s="131"/>
      <c r="C40" s="133"/>
      <c r="D40" s="88"/>
      <c r="E40" s="87"/>
      <c r="F40" s="87"/>
      <c r="G40" s="87"/>
      <c r="H40" s="87"/>
      <c r="I40" s="87"/>
      <c r="J40" s="87"/>
      <c r="K40" s="133"/>
      <c r="L40" s="134"/>
      <c r="M40" s="106"/>
      <c r="N40" s="87"/>
      <c r="O40" s="133"/>
      <c r="P40" s="88"/>
    </row>
    <row r="41" spans="1:16" ht="15" customHeight="1">
      <c r="A41" s="86"/>
      <c r="B41" s="131"/>
      <c r="C41" s="133"/>
      <c r="D41" s="88"/>
      <c r="E41" s="87"/>
      <c r="F41" s="87"/>
      <c r="G41" s="87"/>
      <c r="H41" s="87"/>
      <c r="I41" s="87"/>
      <c r="J41" s="87"/>
      <c r="K41" s="133"/>
      <c r="L41" s="134"/>
      <c r="M41" s="106"/>
      <c r="N41" s="87"/>
      <c r="O41" s="133"/>
      <c r="P41" s="88"/>
    </row>
    <row r="42" spans="1:16" ht="15" customHeight="1">
      <c r="A42" s="86"/>
      <c r="B42" s="131"/>
      <c r="C42" s="133"/>
      <c r="D42" s="88"/>
      <c r="E42" s="87"/>
      <c r="F42" s="87"/>
      <c r="G42" s="87"/>
      <c r="H42" s="87"/>
      <c r="I42" s="87"/>
      <c r="J42" s="87"/>
      <c r="K42" s="133"/>
      <c r="L42" s="134"/>
      <c r="M42" s="106"/>
      <c r="N42" s="87"/>
      <c r="O42" s="133"/>
      <c r="P42" s="88"/>
    </row>
    <row r="43" spans="1:16" ht="15" customHeight="1">
      <c r="A43" s="86"/>
      <c r="B43" s="131"/>
      <c r="C43" s="133"/>
      <c r="D43" s="88"/>
      <c r="E43" s="87"/>
      <c r="F43" s="87"/>
      <c r="G43" s="87"/>
      <c r="H43" s="87"/>
      <c r="I43" s="87"/>
      <c r="J43" s="87"/>
      <c r="K43" s="133"/>
      <c r="L43" s="134"/>
      <c r="M43" s="106"/>
      <c r="N43" s="87"/>
      <c r="O43" s="133"/>
      <c r="P43" s="88"/>
    </row>
    <row r="44" spans="1:16" ht="15" customHeight="1">
      <c r="A44" s="86"/>
      <c r="B44" s="131"/>
      <c r="C44" s="133"/>
      <c r="D44" s="88"/>
      <c r="E44" s="87"/>
      <c r="F44" s="87"/>
      <c r="G44" s="87"/>
      <c r="H44" s="87"/>
      <c r="I44" s="87"/>
      <c r="J44" s="87"/>
      <c r="K44" s="133"/>
      <c r="L44" s="134"/>
      <c r="M44" s="106"/>
      <c r="N44" s="87"/>
      <c r="O44" s="133"/>
      <c r="P44" s="88"/>
    </row>
    <row r="45" spans="1:16" ht="15" customHeight="1">
      <c r="A45" s="86"/>
      <c r="B45" s="131"/>
      <c r="C45" s="133"/>
      <c r="D45" s="88"/>
      <c r="E45" s="87"/>
      <c r="F45" s="87"/>
      <c r="G45" s="87"/>
      <c r="H45" s="87"/>
      <c r="I45" s="87"/>
      <c r="J45" s="87"/>
      <c r="K45" s="133"/>
      <c r="L45" s="134"/>
      <c r="M45" s="106"/>
      <c r="N45" s="87"/>
      <c r="O45" s="133"/>
      <c r="P45" s="88"/>
    </row>
    <row r="46" spans="1:16" ht="15" customHeight="1">
      <c r="A46" s="86"/>
      <c r="B46" s="131"/>
      <c r="C46" s="133"/>
      <c r="D46" s="88"/>
      <c r="E46" s="87"/>
      <c r="F46" s="87"/>
      <c r="G46" s="87"/>
      <c r="H46" s="87"/>
      <c r="I46" s="87"/>
      <c r="J46" s="87"/>
      <c r="K46" s="133"/>
      <c r="L46" s="134"/>
      <c r="M46" s="106"/>
      <c r="N46" s="87"/>
      <c r="O46" s="133"/>
      <c r="P46" s="88"/>
    </row>
    <row r="47" spans="1:16" ht="15" customHeight="1">
      <c r="A47" s="86"/>
      <c r="B47" s="129"/>
      <c r="C47" s="130"/>
      <c r="D47" s="135"/>
      <c r="E47" s="129"/>
      <c r="F47" s="129"/>
      <c r="G47" s="136"/>
      <c r="H47" s="136"/>
      <c r="I47" s="136"/>
      <c r="J47" s="136"/>
      <c r="K47" s="130"/>
      <c r="L47" s="135"/>
      <c r="M47" s="129"/>
      <c r="N47" s="129"/>
      <c r="O47" s="130"/>
      <c r="P47" s="135"/>
    </row>
    <row r="48" spans="1:16" ht="15.75" customHeight="1">
      <c r="A48" s="80"/>
      <c r="B48" s="137" t="s">
        <v>42</v>
      </c>
      <c r="C48" s="85"/>
      <c r="D48" s="85"/>
      <c r="E48" s="85"/>
      <c r="F48" s="85"/>
      <c r="G48" s="138"/>
      <c r="H48" s="97"/>
      <c r="I48" s="139" t="s">
        <v>43</v>
      </c>
      <c r="J48" s="140"/>
      <c r="K48" s="120"/>
      <c r="L48" s="120"/>
      <c r="M48" s="120"/>
      <c r="N48" s="120"/>
      <c r="O48" s="120"/>
      <c r="P48" s="119"/>
    </row>
    <row r="49" spans="1:16" ht="3" customHeight="1">
      <c r="A49" s="86"/>
      <c r="B49" s="137"/>
      <c r="C49" s="85"/>
      <c r="D49" s="85"/>
      <c r="E49" s="85"/>
      <c r="F49" s="85"/>
      <c r="G49" s="104"/>
      <c r="H49" s="97"/>
      <c r="I49" s="97"/>
      <c r="J49" s="97"/>
      <c r="K49" s="85"/>
      <c r="L49" s="85"/>
      <c r="M49" s="85"/>
      <c r="N49" s="85"/>
      <c r="O49" s="85"/>
      <c r="P49" s="132"/>
    </row>
    <row r="50" spans="1:16" ht="10.5" customHeight="1">
      <c r="A50" s="86"/>
      <c r="B50" s="471" t="s">
        <v>79</v>
      </c>
      <c r="C50" s="465"/>
      <c r="D50" s="465"/>
      <c r="E50" s="465"/>
      <c r="F50" s="465"/>
      <c r="G50" s="141"/>
      <c r="H50" s="97"/>
      <c r="I50" s="142"/>
      <c r="J50" s="142"/>
      <c r="K50" s="142"/>
      <c r="L50" s="142"/>
      <c r="M50" s="142"/>
      <c r="N50" s="142"/>
      <c r="O50" s="142"/>
      <c r="P50" s="141"/>
    </row>
    <row r="51" spans="1:16" ht="10.5" customHeight="1">
      <c r="A51" s="86"/>
      <c r="B51" s="465"/>
      <c r="C51" s="465"/>
      <c r="D51" s="465"/>
      <c r="E51" s="465"/>
      <c r="F51" s="465"/>
      <c r="G51" s="141"/>
      <c r="H51" s="97"/>
      <c r="I51" s="142"/>
      <c r="J51" s="142"/>
      <c r="K51" s="142"/>
      <c r="L51" s="142"/>
      <c r="M51" s="142"/>
      <c r="N51" s="142"/>
      <c r="O51" s="142"/>
      <c r="P51" s="141"/>
    </row>
    <row r="52" spans="1:16" ht="11.25" customHeight="1">
      <c r="A52" s="86"/>
      <c r="B52" s="143" t="s">
        <v>80</v>
      </c>
      <c r="C52" s="144"/>
      <c r="D52" s="144"/>
      <c r="E52" s="144"/>
      <c r="F52" s="144"/>
      <c r="G52" s="145"/>
      <c r="H52" s="97"/>
      <c r="I52" s="97"/>
      <c r="J52" s="97"/>
      <c r="K52" s="85"/>
      <c r="L52" s="85"/>
      <c r="M52" s="85"/>
      <c r="N52" s="85"/>
      <c r="O52" s="85"/>
      <c r="P52" s="132"/>
    </row>
    <row r="53" spans="1:16" ht="14.25" customHeight="1">
      <c r="A53" s="86"/>
      <c r="B53" s="143" t="s">
        <v>81</v>
      </c>
      <c r="C53" s="144"/>
      <c r="D53" s="144"/>
      <c r="E53" s="144"/>
      <c r="F53" s="144"/>
      <c r="G53" s="145"/>
      <c r="H53" s="97"/>
      <c r="I53" s="97"/>
      <c r="J53" s="97"/>
      <c r="K53" s="85"/>
      <c r="L53" s="85"/>
      <c r="M53" s="85"/>
      <c r="N53" s="85"/>
      <c r="O53" s="85"/>
      <c r="P53" s="132"/>
    </row>
    <row r="54" spans="1:16" ht="3" customHeight="1">
      <c r="A54" s="86"/>
      <c r="B54" s="143"/>
      <c r="C54" s="144"/>
      <c r="D54" s="144"/>
      <c r="E54" s="144"/>
      <c r="F54" s="144"/>
      <c r="G54" s="145"/>
      <c r="H54" s="97"/>
      <c r="I54" s="97"/>
      <c r="J54" s="97"/>
      <c r="K54" s="85"/>
      <c r="L54" s="85"/>
      <c r="M54" s="85"/>
      <c r="N54" s="85"/>
      <c r="O54" s="85"/>
      <c r="P54" s="132"/>
    </row>
    <row r="55" spans="1:16" ht="11.25" customHeight="1">
      <c r="A55" s="86"/>
      <c r="B55" s="471" t="s">
        <v>82</v>
      </c>
      <c r="C55" s="465"/>
      <c r="D55" s="465"/>
      <c r="E55" s="465"/>
      <c r="F55" s="465"/>
      <c r="G55" s="145"/>
      <c r="H55" s="97"/>
      <c r="I55" s="97"/>
      <c r="J55" s="97"/>
      <c r="K55" s="85"/>
      <c r="L55" s="85"/>
      <c r="M55" s="85"/>
      <c r="N55" s="85"/>
      <c r="O55" s="85"/>
      <c r="P55" s="132"/>
    </row>
    <row r="56" spans="1:16" ht="11.25" customHeight="1">
      <c r="A56" s="86"/>
      <c r="B56" s="465"/>
      <c r="C56" s="465"/>
      <c r="D56" s="465"/>
      <c r="E56" s="465"/>
      <c r="F56" s="465"/>
      <c r="G56" s="104"/>
      <c r="H56" s="97"/>
      <c r="I56" s="97"/>
      <c r="J56" s="97"/>
      <c r="K56" s="85"/>
      <c r="L56" s="85"/>
      <c r="M56" s="85"/>
      <c r="N56" s="85"/>
      <c r="O56" s="85"/>
      <c r="P56" s="132"/>
    </row>
    <row r="57" spans="1:16" ht="11.25" customHeight="1">
      <c r="A57" s="86"/>
      <c r="B57" s="143" t="s">
        <v>83</v>
      </c>
      <c r="C57" s="144"/>
      <c r="D57" s="144"/>
      <c r="E57" s="144"/>
      <c r="F57" s="144"/>
      <c r="G57" s="104"/>
      <c r="H57" s="97"/>
      <c r="I57" s="97"/>
      <c r="J57" s="97"/>
      <c r="K57" s="85"/>
      <c r="L57" s="85"/>
      <c r="M57" s="85"/>
      <c r="N57" s="85"/>
      <c r="O57" s="85"/>
      <c r="P57" s="132"/>
    </row>
    <row r="58" spans="1:16" ht="14.25" customHeight="1">
      <c r="A58" s="86"/>
      <c r="B58" s="143" t="s">
        <v>84</v>
      </c>
      <c r="C58" s="144"/>
      <c r="D58" s="144"/>
      <c r="E58" s="144"/>
      <c r="F58" s="144"/>
      <c r="G58" s="104"/>
      <c r="H58" s="97"/>
      <c r="I58" s="146"/>
      <c r="J58" s="97"/>
      <c r="K58" s="85"/>
      <c r="L58" s="85"/>
      <c r="M58" s="85"/>
      <c r="N58" s="85"/>
      <c r="O58" s="85"/>
      <c r="P58" s="132"/>
    </row>
    <row r="59" spans="1:16" ht="11.25" customHeight="1">
      <c r="A59" s="86"/>
      <c r="B59" s="137"/>
      <c r="C59" s="85"/>
      <c r="D59" s="85"/>
      <c r="E59" s="85"/>
      <c r="F59" s="85"/>
      <c r="G59" s="104"/>
      <c r="H59" s="97"/>
      <c r="I59" s="97"/>
      <c r="J59" s="97"/>
      <c r="K59" s="85"/>
      <c r="L59" s="85"/>
      <c r="M59" s="85"/>
      <c r="N59" s="85"/>
      <c r="O59" s="85"/>
      <c r="P59" s="132"/>
    </row>
    <row r="60" spans="1:16" ht="11.25" customHeight="1">
      <c r="A60" s="86"/>
      <c r="B60" s="147">
        <v>45827</v>
      </c>
      <c r="C60" s="144"/>
      <c r="D60" s="144"/>
      <c r="E60" s="144"/>
      <c r="F60" s="144"/>
      <c r="G60" s="104"/>
      <c r="H60" s="97"/>
      <c r="I60" s="97"/>
      <c r="J60" s="97"/>
      <c r="K60" s="85"/>
      <c r="L60" s="85"/>
      <c r="M60" s="85"/>
      <c r="N60" s="85"/>
      <c r="O60" s="85"/>
      <c r="P60" s="132"/>
    </row>
    <row r="61" spans="1:16" ht="15" customHeight="1">
      <c r="A61" s="86"/>
      <c r="B61" s="143" t="s">
        <v>85</v>
      </c>
      <c r="C61" s="144"/>
      <c r="D61" s="144"/>
      <c r="E61" s="144"/>
      <c r="F61" s="144"/>
      <c r="G61" s="104"/>
      <c r="H61" s="97"/>
      <c r="I61" s="148">
        <v>45827</v>
      </c>
      <c r="J61" s="144"/>
      <c r="K61" s="144"/>
      <c r="L61" s="144"/>
      <c r="M61" s="144"/>
      <c r="N61" s="144"/>
      <c r="O61" s="144"/>
      <c r="P61" s="145"/>
    </row>
    <row r="62" spans="1:16" ht="3" customHeight="1">
      <c r="A62" s="86"/>
      <c r="B62" s="137"/>
      <c r="C62" s="85"/>
      <c r="D62" s="85"/>
      <c r="E62" s="85"/>
      <c r="F62" s="85"/>
      <c r="G62" s="104"/>
      <c r="H62" s="97"/>
      <c r="I62" s="477" t="s">
        <v>86</v>
      </c>
      <c r="J62" s="465"/>
      <c r="K62" s="465"/>
      <c r="L62" s="465"/>
      <c r="M62" s="465"/>
      <c r="N62" s="465"/>
      <c r="O62" s="465"/>
      <c r="P62" s="460"/>
    </row>
    <row r="63" spans="1:16" ht="15.75" customHeight="1">
      <c r="A63" s="80"/>
      <c r="B63" s="149" t="s">
        <v>87</v>
      </c>
      <c r="C63" s="150"/>
      <c r="D63" s="150"/>
      <c r="E63" s="150"/>
      <c r="F63" s="150"/>
      <c r="G63" s="138"/>
      <c r="H63" s="151"/>
      <c r="I63" s="465"/>
      <c r="J63" s="465"/>
      <c r="K63" s="465"/>
      <c r="L63" s="465"/>
      <c r="M63" s="465"/>
      <c r="N63" s="465"/>
      <c r="O63" s="465"/>
      <c r="P63" s="460"/>
    </row>
    <row r="64" spans="1:16" ht="14.25" customHeight="1">
      <c r="A64" s="86"/>
      <c r="B64" s="379" t="s">
        <v>88</v>
      </c>
      <c r="C64" s="32"/>
      <c r="D64" s="32"/>
      <c r="E64" s="32"/>
      <c r="F64" s="378" t="s">
        <v>89</v>
      </c>
      <c r="G64" s="104"/>
      <c r="H64" s="151"/>
      <c r="I64" s="97"/>
      <c r="J64" s="97"/>
      <c r="K64" s="85"/>
      <c r="L64" s="85"/>
      <c r="M64" s="85"/>
      <c r="N64" s="85"/>
      <c r="O64" s="85"/>
      <c r="P64" s="132"/>
    </row>
    <row r="65" spans="1:16" ht="14.25" customHeight="1">
      <c r="A65" s="86"/>
      <c r="B65" s="378" t="s">
        <v>90</v>
      </c>
      <c r="C65" s="32"/>
      <c r="D65" s="32"/>
      <c r="E65" s="32"/>
      <c r="F65" s="378" t="s">
        <v>91</v>
      </c>
      <c r="G65" s="132"/>
      <c r="H65" s="151"/>
      <c r="I65" s="97"/>
      <c r="J65" s="97"/>
      <c r="K65" s="85"/>
      <c r="L65" s="85"/>
      <c r="M65" s="85"/>
      <c r="N65" s="85"/>
      <c r="O65" s="85"/>
      <c r="P65" s="132"/>
    </row>
    <row r="66" spans="1:16" ht="14.25" customHeight="1">
      <c r="A66" s="86"/>
      <c r="B66" s="378" t="s">
        <v>92</v>
      </c>
      <c r="C66" s="32"/>
      <c r="D66" s="32"/>
      <c r="E66" s="32"/>
      <c r="F66" s="378" t="s">
        <v>93</v>
      </c>
      <c r="G66" s="132"/>
      <c r="H66" s="151"/>
      <c r="I66" s="97"/>
      <c r="J66" s="97"/>
      <c r="K66" s="85"/>
      <c r="L66" s="85"/>
      <c r="M66" s="85"/>
      <c r="N66" s="85"/>
      <c r="O66" s="85"/>
      <c r="P66" s="132"/>
    </row>
    <row r="67" spans="1:16" ht="14.25" customHeight="1">
      <c r="A67" s="86"/>
      <c r="B67" s="378" t="s">
        <v>94</v>
      </c>
      <c r="C67" s="32"/>
      <c r="D67" s="32"/>
      <c r="E67" s="32"/>
      <c r="F67" s="32"/>
      <c r="G67" s="132"/>
      <c r="H67" s="151"/>
      <c r="I67" s="97"/>
      <c r="J67" s="97"/>
      <c r="K67" s="85"/>
      <c r="L67" s="85"/>
      <c r="M67" s="85"/>
      <c r="N67" s="85"/>
      <c r="O67" s="85"/>
      <c r="P67" s="132"/>
    </row>
    <row r="68" spans="1:16" ht="2.85" customHeight="1">
      <c r="A68" s="126"/>
      <c r="B68" s="152"/>
      <c r="C68" s="129"/>
      <c r="D68" s="129"/>
      <c r="E68" s="129"/>
      <c r="F68" s="129"/>
      <c r="G68" s="135"/>
      <c r="H68" s="153"/>
      <c r="I68" s="136"/>
      <c r="J68" s="136"/>
      <c r="K68" s="129"/>
      <c r="L68" s="129"/>
      <c r="M68" s="129"/>
      <c r="N68" s="129"/>
      <c r="O68" s="129"/>
      <c r="P68" s="135"/>
    </row>
    <row r="69" spans="1:16" ht="9" customHeight="1">
      <c r="B69" s="154"/>
      <c r="C69" s="154"/>
      <c r="D69" s="154"/>
      <c r="E69" s="154"/>
      <c r="F69" s="154"/>
      <c r="G69" s="154"/>
      <c r="H69" s="154"/>
      <c r="I69" s="154"/>
      <c r="J69" s="154"/>
      <c r="K69" s="154"/>
      <c r="L69" s="154"/>
      <c r="M69" s="154"/>
      <c r="N69" s="154"/>
      <c r="O69" s="154"/>
      <c r="P69" s="155" t="s">
        <v>95</v>
      </c>
    </row>
  </sheetData>
  <mergeCells count="13">
    <mergeCell ref="B1:P1"/>
    <mergeCell ref="B18:G19"/>
    <mergeCell ref="I5:P8"/>
    <mergeCell ref="I62:P63"/>
    <mergeCell ref="F28:I28"/>
    <mergeCell ref="I18:P19"/>
    <mergeCell ref="I9:P16"/>
    <mergeCell ref="B2:G3"/>
    <mergeCell ref="B10:G11"/>
    <mergeCell ref="B55:F56"/>
    <mergeCell ref="I2:J2"/>
    <mergeCell ref="B50:F51"/>
    <mergeCell ref="I23:P24"/>
  </mergeCells>
  <printOptions horizontalCentered="1"/>
  <pageMargins left="0.11811023622047249" right="0.11811023622047249" top="0.19685039370078741" bottom="0.19685039370078741" header="0.31496062992125978" footer="0.31496062992125978"/>
  <pageSetup paperSize="9" scale="95"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Check Box 1">
              <controlPr defaultSize="0" autoFill="0" autoLine="0" autoPict="0" altText="Third Country Invoicing">
                <anchor moveWithCells="1">
                  <from>
                    <xdr:col>0</xdr:col>
                    <xdr:colOff>19050</xdr:colOff>
                    <xdr:row>62</xdr:row>
                    <xdr:rowOff>123825</xdr:rowOff>
                  </from>
                  <to>
                    <xdr:col>1</xdr:col>
                    <xdr:colOff>209550</xdr:colOff>
                    <xdr:row>64</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pageSetUpPr fitToPage="1"/>
  </sheetPr>
  <dimension ref="B1:K65"/>
  <sheetViews>
    <sheetView view="pageBreakPreview" topLeftCell="A23" zoomScaleNormal="100" workbookViewId="0">
      <selection activeCell="G30" sqref="G30"/>
    </sheetView>
  </sheetViews>
  <sheetFormatPr defaultColWidth="12" defaultRowHeight="12.75"/>
  <cols>
    <col min="1" max="1" width="1.33203125" style="156" customWidth="1"/>
    <col min="2" max="2" width="9.33203125" style="156" customWidth="1"/>
    <col min="3" max="3" width="17" style="156" customWidth="1"/>
    <col min="4" max="4" width="26.83203125" style="156" customWidth="1"/>
    <col min="5" max="5" width="24.33203125" style="156" customWidth="1"/>
    <col min="6" max="6" width="18" style="156" customWidth="1"/>
    <col min="7" max="7" width="33.83203125" style="156" customWidth="1"/>
    <col min="8" max="8" width="20.83203125" style="156" customWidth="1"/>
    <col min="9" max="9" width="1.5" style="156" customWidth="1"/>
    <col min="10" max="10" width="1.33203125" style="156" hidden="1" customWidth="1"/>
    <col min="11" max="11" width="11.1640625" style="156" customWidth="1"/>
    <col min="12" max="12" width="10" style="156" customWidth="1"/>
    <col min="13" max="13" width="15" style="156" customWidth="1"/>
    <col min="14" max="15" width="12" style="156" customWidth="1"/>
    <col min="16" max="16" width="43.33203125" style="156" customWidth="1"/>
    <col min="17" max="49" width="12" style="156" customWidth="1"/>
    <col min="50" max="16384" width="12" style="156"/>
  </cols>
  <sheetData>
    <row r="1" spans="2:8" ht="2.25" customHeight="1"/>
    <row r="2" spans="2:8" ht="9.75" hidden="1" customHeight="1"/>
    <row r="3" spans="2:8" ht="9" customHeight="1"/>
    <row r="4" spans="2:8" ht="20.100000000000001" customHeight="1">
      <c r="B4" s="157" t="s">
        <v>96</v>
      </c>
      <c r="C4" s="158"/>
      <c r="D4" s="158"/>
      <c r="E4" s="158"/>
      <c r="F4" s="159" t="s">
        <v>97</v>
      </c>
      <c r="G4" s="160"/>
      <c r="H4" s="161" t="s">
        <v>98</v>
      </c>
    </row>
    <row r="5" spans="2:8" ht="15.75" customHeight="1">
      <c r="B5" s="162" t="s">
        <v>99</v>
      </c>
      <c r="F5" s="482" t="s">
        <v>100</v>
      </c>
      <c r="G5" s="435"/>
      <c r="H5" s="458"/>
    </row>
    <row r="6" spans="2:8" ht="15.75" customHeight="1">
      <c r="B6" s="162" t="s">
        <v>101</v>
      </c>
      <c r="C6" s="163"/>
      <c r="D6" s="163"/>
      <c r="E6" s="163"/>
      <c r="F6" s="504" t="s">
        <v>102</v>
      </c>
      <c r="G6" s="484"/>
      <c r="H6" s="460"/>
    </row>
    <row r="7" spans="2:8" ht="15.75" customHeight="1">
      <c r="B7" s="162" t="s">
        <v>103</v>
      </c>
      <c r="C7" s="163"/>
      <c r="D7" s="163"/>
      <c r="E7" s="163"/>
      <c r="F7" s="507" t="s">
        <v>104</v>
      </c>
      <c r="G7" s="484"/>
      <c r="H7" s="460"/>
    </row>
    <row r="8" spans="2:8" ht="15.75" customHeight="1">
      <c r="B8" s="162" t="s">
        <v>80</v>
      </c>
      <c r="C8" s="163"/>
      <c r="D8" s="163"/>
      <c r="E8" s="163"/>
      <c r="F8" s="488" t="s">
        <v>105</v>
      </c>
      <c r="G8" s="484"/>
      <c r="H8" s="460"/>
    </row>
    <row r="9" spans="2:8" ht="6.75" customHeight="1">
      <c r="B9" s="164"/>
      <c r="C9" s="165"/>
      <c r="D9" s="165"/>
      <c r="E9" s="165"/>
      <c r="F9" s="459"/>
      <c r="G9" s="484"/>
      <c r="H9" s="460"/>
    </row>
    <row r="10" spans="2:8" ht="20.100000000000001" customHeight="1">
      <c r="B10" s="166" t="s">
        <v>106</v>
      </c>
      <c r="C10" s="167"/>
      <c r="D10" s="167"/>
      <c r="E10" s="168"/>
      <c r="F10" s="459"/>
      <c r="G10" s="484"/>
      <c r="H10" s="460"/>
    </row>
    <row r="11" spans="2:8" ht="15.75" customHeight="1">
      <c r="B11" s="170" t="s">
        <v>107</v>
      </c>
      <c r="F11" s="459"/>
      <c r="G11" s="484"/>
      <c r="H11" s="460"/>
    </row>
    <row r="12" spans="2:8" s="169" customFormat="1" ht="15.75" customHeight="1">
      <c r="B12" s="172" t="s">
        <v>108</v>
      </c>
      <c r="F12" s="459"/>
      <c r="G12" s="489"/>
      <c r="H12" s="460"/>
    </row>
    <row r="13" spans="2:8" s="169" customFormat="1" ht="15.75" customHeight="1">
      <c r="B13" s="162" t="s">
        <v>109</v>
      </c>
      <c r="F13" s="498" t="s">
        <v>110</v>
      </c>
      <c r="G13" s="489"/>
      <c r="H13" s="460"/>
    </row>
    <row r="14" spans="2:8" s="169" customFormat="1" ht="15.75" customHeight="1">
      <c r="B14" s="162" t="s">
        <v>111</v>
      </c>
      <c r="F14" s="173"/>
      <c r="G14" s="174" t="s">
        <v>112</v>
      </c>
      <c r="H14" s="175"/>
    </row>
    <row r="15" spans="2:8" s="169" customFormat="1" ht="15.75" customHeight="1">
      <c r="B15" s="171"/>
      <c r="F15" s="173"/>
      <c r="G15" s="176" t="s">
        <v>113</v>
      </c>
      <c r="H15" s="175"/>
    </row>
    <row r="16" spans="2:8" s="169" customFormat="1" ht="7.5" customHeight="1">
      <c r="B16" s="177"/>
      <c r="C16" s="178"/>
      <c r="D16" s="178"/>
      <c r="E16" s="179"/>
      <c r="F16" s="180"/>
      <c r="G16" s="179"/>
      <c r="H16" s="181"/>
    </row>
    <row r="17" spans="2:8" ht="20.100000000000001" customHeight="1">
      <c r="B17" s="182" t="s">
        <v>114</v>
      </c>
      <c r="C17" s="158"/>
      <c r="D17" s="158"/>
      <c r="E17" s="183"/>
      <c r="F17" s="157" t="s">
        <v>68</v>
      </c>
      <c r="G17" s="158"/>
      <c r="H17" s="184"/>
    </row>
    <row r="18" spans="2:8" ht="20.25" customHeight="1">
      <c r="B18" s="185" t="s">
        <v>115</v>
      </c>
      <c r="C18" s="186"/>
      <c r="D18" s="186"/>
      <c r="E18" s="187"/>
      <c r="F18" s="483" t="s">
        <v>116</v>
      </c>
      <c r="G18" s="484"/>
      <c r="H18" s="460"/>
    </row>
    <row r="19" spans="2:8" ht="20.25" customHeight="1">
      <c r="B19" s="185" t="s">
        <v>117</v>
      </c>
      <c r="C19" s="186"/>
      <c r="D19" s="188"/>
      <c r="E19" s="189"/>
      <c r="F19" s="486" t="s">
        <v>118</v>
      </c>
      <c r="G19" s="484"/>
      <c r="H19" s="460"/>
    </row>
    <row r="20" spans="2:8" ht="20.25" customHeight="1">
      <c r="B20" s="185" t="s">
        <v>119</v>
      </c>
      <c r="C20" s="190"/>
      <c r="D20" s="191"/>
      <c r="E20" s="192"/>
      <c r="F20" s="459"/>
      <c r="G20" s="484"/>
      <c r="H20" s="460"/>
    </row>
    <row r="21" spans="2:8" ht="20.25" customHeight="1">
      <c r="B21" s="185" t="s">
        <v>17</v>
      </c>
      <c r="C21" s="193"/>
      <c r="D21" s="194" t="s">
        <v>111</v>
      </c>
      <c r="E21" s="195"/>
      <c r="F21" s="508" t="s">
        <v>120</v>
      </c>
      <c r="G21" s="484"/>
      <c r="H21" s="460"/>
    </row>
    <row r="22" spans="2:8" ht="14.25" customHeight="1">
      <c r="B22" s="196"/>
      <c r="C22" s="197"/>
      <c r="D22" s="197"/>
      <c r="E22" s="198"/>
      <c r="F22" s="494" t="s">
        <v>121</v>
      </c>
      <c r="G22" s="439"/>
      <c r="H22" s="462"/>
    </row>
    <row r="23" spans="2:8" s="202" customFormat="1" ht="78.75" customHeight="1">
      <c r="B23" s="199" t="s">
        <v>122</v>
      </c>
      <c r="C23" s="200" t="s">
        <v>123</v>
      </c>
      <c r="D23" s="505" t="s">
        <v>124</v>
      </c>
      <c r="E23" s="506"/>
      <c r="F23" s="200" t="s">
        <v>125</v>
      </c>
      <c r="G23" s="200" t="s">
        <v>126</v>
      </c>
      <c r="H23" s="201" t="s">
        <v>127</v>
      </c>
    </row>
    <row r="24" spans="2:8" ht="12" customHeight="1">
      <c r="B24" s="203"/>
      <c r="C24" s="204"/>
      <c r="D24" s="205"/>
      <c r="E24" s="206"/>
      <c r="F24" s="207"/>
      <c r="G24" s="208"/>
      <c r="H24" s="209"/>
    </row>
    <row r="25" spans="2:8" s="216" customFormat="1" ht="17.100000000000001" customHeight="1">
      <c r="B25" s="210">
        <v>1</v>
      </c>
      <c r="C25" s="211">
        <v>1093</v>
      </c>
      <c r="D25" s="212" t="s">
        <v>128</v>
      </c>
      <c r="E25" s="213"/>
      <c r="F25" s="210" t="s">
        <v>129</v>
      </c>
      <c r="G25" s="214" t="s">
        <v>31</v>
      </c>
      <c r="H25" s="215">
        <v>4302139839</v>
      </c>
    </row>
    <row r="26" spans="2:8" s="216" customFormat="1" ht="17.100000000000001" customHeight="1">
      <c r="B26" s="217"/>
      <c r="C26" s="218" t="s">
        <v>130</v>
      </c>
      <c r="D26" s="212" t="s">
        <v>131</v>
      </c>
      <c r="E26" s="219"/>
      <c r="F26" s="210"/>
      <c r="G26" s="220" t="s">
        <v>132</v>
      </c>
      <c r="H26" s="221">
        <v>45805</v>
      </c>
    </row>
    <row r="27" spans="2:8" s="216" customFormat="1" ht="17.100000000000001" customHeight="1">
      <c r="B27" s="217"/>
      <c r="C27" s="218" t="s">
        <v>133</v>
      </c>
      <c r="D27" s="212" t="s">
        <v>36</v>
      </c>
      <c r="E27" s="222"/>
      <c r="F27" s="210"/>
      <c r="G27" s="215"/>
      <c r="H27" s="210"/>
    </row>
    <row r="28" spans="2:8" s="216" customFormat="1" ht="17.100000000000001" customHeight="1">
      <c r="B28" s="217"/>
      <c r="C28" s="218" t="s">
        <v>134</v>
      </c>
      <c r="D28" s="212" t="s">
        <v>135</v>
      </c>
      <c r="E28" s="219"/>
      <c r="F28" s="210"/>
      <c r="G28" s="223"/>
      <c r="H28" s="224"/>
    </row>
    <row r="29" spans="2:8" s="216" customFormat="1" ht="17.100000000000001" customHeight="1">
      <c r="B29" s="217"/>
      <c r="C29" s="218" t="s">
        <v>136</v>
      </c>
      <c r="D29" s="212" t="s">
        <v>137</v>
      </c>
      <c r="E29" s="219"/>
      <c r="F29" s="224"/>
      <c r="G29" s="224"/>
      <c r="H29" s="210"/>
    </row>
    <row r="30" spans="2:8" s="216" customFormat="1" ht="17.100000000000001" customHeight="1">
      <c r="B30" s="217"/>
      <c r="C30" s="218" t="s">
        <v>138</v>
      </c>
      <c r="D30" s="212" t="s">
        <v>139</v>
      </c>
      <c r="E30" s="219"/>
      <c r="F30" s="210"/>
      <c r="G30" s="223"/>
      <c r="H30" s="225"/>
    </row>
    <row r="31" spans="2:8" s="216" customFormat="1" ht="17.100000000000001" customHeight="1">
      <c r="B31" s="217"/>
      <c r="C31" s="226"/>
      <c r="D31" s="212" t="s">
        <v>140</v>
      </c>
      <c r="E31" s="219"/>
      <c r="F31" s="210"/>
      <c r="G31" s="210"/>
      <c r="H31" s="225"/>
    </row>
    <row r="32" spans="2:8" s="216" customFormat="1" ht="17.100000000000001" customHeight="1">
      <c r="B32" s="217"/>
      <c r="C32" s="226"/>
      <c r="D32" s="212"/>
      <c r="E32" s="219"/>
      <c r="F32" s="210"/>
      <c r="G32" s="223"/>
      <c r="H32" s="225"/>
    </row>
    <row r="33" spans="2:8" s="216" customFormat="1" ht="17.100000000000001" customHeight="1">
      <c r="B33" s="217"/>
      <c r="C33" s="226"/>
      <c r="D33" s="212" t="s">
        <v>141</v>
      </c>
      <c r="E33" s="227"/>
      <c r="F33" s="215"/>
      <c r="G33" s="215"/>
      <c r="H33" s="227"/>
    </row>
    <row r="34" spans="2:8" s="216" customFormat="1" ht="17.100000000000001" customHeight="1">
      <c r="B34" s="217"/>
      <c r="C34" s="226"/>
      <c r="D34" s="212"/>
      <c r="E34" s="227"/>
      <c r="F34" s="215"/>
      <c r="G34" s="215"/>
      <c r="H34" s="227"/>
    </row>
    <row r="35" spans="2:8" s="216" customFormat="1" ht="17.100000000000001" customHeight="1">
      <c r="B35" s="217"/>
      <c r="C35" s="226"/>
      <c r="D35" s="212" t="s">
        <v>142</v>
      </c>
      <c r="E35" s="227"/>
      <c r="F35" s="215"/>
      <c r="G35" s="215"/>
      <c r="H35" s="227"/>
    </row>
    <row r="36" spans="2:8" s="216" customFormat="1" ht="17.100000000000001" customHeight="1">
      <c r="B36" s="217"/>
      <c r="C36" s="226"/>
      <c r="D36" s="212" t="s">
        <v>143</v>
      </c>
      <c r="E36" s="227"/>
      <c r="F36" s="215"/>
      <c r="G36" s="215"/>
      <c r="H36" s="227"/>
    </row>
    <row r="37" spans="2:8" s="216" customFormat="1" ht="17.100000000000001" customHeight="1">
      <c r="B37" s="217"/>
      <c r="C37" s="226"/>
      <c r="D37" s="212" t="s">
        <v>144</v>
      </c>
      <c r="E37" s="227"/>
      <c r="F37" s="215"/>
      <c r="G37" s="215"/>
      <c r="H37" s="227"/>
    </row>
    <row r="38" spans="2:8" s="216" customFormat="1" ht="17.100000000000001" customHeight="1">
      <c r="B38" s="217"/>
      <c r="C38" s="226"/>
      <c r="D38" s="212" t="s">
        <v>145</v>
      </c>
      <c r="E38" s="227"/>
      <c r="F38" s="215"/>
      <c r="G38" s="215"/>
      <c r="H38" s="227"/>
    </row>
    <row r="39" spans="2:8" s="216" customFormat="1" ht="17.100000000000001" customHeight="1">
      <c r="B39" s="217"/>
      <c r="C39" s="226"/>
      <c r="D39" s="212"/>
      <c r="E39" s="227"/>
      <c r="F39" s="215"/>
      <c r="G39" s="215"/>
      <c r="H39" s="227"/>
    </row>
    <row r="40" spans="2:8" s="216" customFormat="1" ht="17.100000000000001" customHeight="1">
      <c r="B40" s="217"/>
      <c r="C40" s="226"/>
      <c r="D40" s="212"/>
      <c r="E40" s="227"/>
      <c r="F40" s="215"/>
      <c r="G40" s="215"/>
      <c r="H40" s="227"/>
    </row>
    <row r="41" spans="2:8" s="216" customFormat="1" ht="17.100000000000001" customHeight="1">
      <c r="B41" s="217"/>
      <c r="C41" s="226"/>
      <c r="D41" s="212"/>
      <c r="E41" s="227"/>
      <c r="F41" s="215"/>
      <c r="G41" s="215"/>
      <c r="H41" s="227"/>
    </row>
    <row r="42" spans="2:8" s="216" customFormat="1" ht="17.100000000000001" customHeight="1">
      <c r="B42" s="217"/>
      <c r="C42" s="226"/>
      <c r="D42" s="212"/>
      <c r="E42" s="227"/>
      <c r="F42" s="215"/>
      <c r="G42" s="215"/>
      <c r="H42" s="227"/>
    </row>
    <row r="43" spans="2:8" s="216" customFormat="1" ht="17.100000000000001" customHeight="1">
      <c r="B43" s="217"/>
      <c r="C43" s="226"/>
      <c r="D43" s="212"/>
      <c r="E43" s="227"/>
      <c r="F43" s="215"/>
      <c r="G43" s="215"/>
      <c r="H43" s="227"/>
    </row>
    <row r="44" spans="2:8" ht="4.5" customHeight="1">
      <c r="B44" s="228"/>
      <c r="C44" s="229"/>
      <c r="D44" s="230"/>
      <c r="E44" s="231"/>
      <c r="F44" s="232"/>
      <c r="G44" s="232"/>
      <c r="H44" s="233"/>
    </row>
    <row r="45" spans="2:8" ht="20.100000000000001" customHeight="1">
      <c r="B45" s="492" t="s">
        <v>146</v>
      </c>
      <c r="C45" s="435"/>
      <c r="D45" s="435"/>
      <c r="E45" s="458"/>
      <c r="F45" s="237" t="s">
        <v>147</v>
      </c>
      <c r="G45" s="238"/>
      <c r="H45" s="239"/>
    </row>
    <row r="46" spans="2:8" ht="14.25" customHeight="1">
      <c r="B46" s="240" t="s">
        <v>148</v>
      </c>
      <c r="C46" s="241"/>
      <c r="D46" s="241"/>
      <c r="E46" s="242"/>
      <c r="F46" s="493" t="s">
        <v>149</v>
      </c>
      <c r="G46" s="484"/>
      <c r="H46" s="460"/>
    </row>
    <row r="47" spans="2:8" ht="14.25" customHeight="1">
      <c r="B47" s="240" t="s">
        <v>150</v>
      </c>
      <c r="C47" s="241"/>
      <c r="D47" s="241"/>
      <c r="E47" s="242"/>
      <c r="F47" s="490" t="s">
        <v>151</v>
      </c>
      <c r="G47" s="484"/>
      <c r="H47" s="460"/>
    </row>
    <row r="48" spans="2:8" ht="14.25" customHeight="1">
      <c r="B48" s="243" t="s">
        <v>152</v>
      </c>
      <c r="C48" s="234"/>
      <c r="D48" s="234"/>
      <c r="E48" s="244"/>
      <c r="F48" s="490" t="s">
        <v>153</v>
      </c>
      <c r="G48" s="484"/>
      <c r="H48" s="460"/>
    </row>
    <row r="49" spans="2:11" ht="14.25" customHeight="1">
      <c r="B49" s="479" t="s">
        <v>154</v>
      </c>
      <c r="C49" s="480"/>
      <c r="D49" s="480"/>
      <c r="E49" s="481"/>
      <c r="F49" s="490" t="s">
        <v>155</v>
      </c>
      <c r="G49" s="484"/>
      <c r="H49" s="460"/>
      <c r="I49" s="243"/>
      <c r="J49" s="234"/>
      <c r="K49" s="235"/>
    </row>
    <row r="50" spans="2:11" ht="19.5" customHeight="1">
      <c r="B50" s="495" t="s">
        <v>156</v>
      </c>
      <c r="C50" s="496"/>
      <c r="D50" s="496"/>
      <c r="E50" s="497"/>
      <c r="F50" s="245"/>
      <c r="G50" s="246"/>
      <c r="H50" s="247"/>
      <c r="I50" s="243"/>
      <c r="J50" s="234"/>
      <c r="K50" s="235"/>
    </row>
    <row r="51" spans="2:11" ht="12.6" customHeight="1">
      <c r="B51" s="185" t="s">
        <v>157</v>
      </c>
      <c r="C51" s="234"/>
      <c r="D51" s="234"/>
      <c r="E51" s="244"/>
      <c r="F51" s="185"/>
      <c r="H51" s="244"/>
      <c r="I51" s="243"/>
      <c r="J51" s="234"/>
      <c r="K51" s="235"/>
    </row>
    <row r="52" spans="2:11" ht="12.6" customHeight="1">
      <c r="B52" s="185" t="s">
        <v>158</v>
      </c>
      <c r="C52" s="248"/>
      <c r="D52" s="248"/>
      <c r="E52" s="249"/>
      <c r="F52" s="250"/>
      <c r="H52" s="244"/>
      <c r="I52" s="243"/>
      <c r="J52" s="234"/>
      <c r="K52" s="235"/>
    </row>
    <row r="53" spans="2:11" ht="12.95" customHeight="1">
      <c r="B53" s="185" t="s">
        <v>159</v>
      </c>
      <c r="E53" s="244"/>
      <c r="F53" s="185"/>
      <c r="G53" s="234"/>
      <c r="H53" s="251"/>
      <c r="I53" s="185"/>
      <c r="J53" s="499"/>
      <c r="K53" s="484"/>
    </row>
    <row r="54" spans="2:11" ht="12.95" customHeight="1">
      <c r="B54" s="185" t="s">
        <v>160</v>
      </c>
      <c r="E54" s="244"/>
      <c r="G54" s="234"/>
      <c r="H54" s="251"/>
      <c r="I54" s="185"/>
      <c r="J54" s="252"/>
      <c r="K54" s="252"/>
    </row>
    <row r="55" spans="2:11" ht="20.25" customHeight="1">
      <c r="B55" s="487" t="s">
        <v>111</v>
      </c>
      <c r="C55" s="480"/>
      <c r="D55" s="480"/>
      <c r="E55" s="481"/>
      <c r="F55" s="185"/>
      <c r="H55" s="244"/>
      <c r="I55" s="185"/>
    </row>
    <row r="56" spans="2:11" ht="20.25" customHeight="1">
      <c r="B56" s="495" t="s">
        <v>161</v>
      </c>
      <c r="C56" s="496"/>
      <c r="D56" s="496"/>
      <c r="E56" s="497"/>
      <c r="F56" s="185"/>
      <c r="H56" s="244"/>
      <c r="I56" s="185"/>
    </row>
    <row r="57" spans="2:11" ht="12.95" customHeight="1">
      <c r="B57" s="253"/>
      <c r="C57" s="254"/>
      <c r="D57" s="254"/>
      <c r="E57" s="254"/>
      <c r="F57" s="503">
        <f ca="1">TODAY()</f>
        <v>45940</v>
      </c>
      <c r="G57" s="480"/>
      <c r="H57" s="481"/>
      <c r="I57" s="255"/>
    </row>
    <row r="58" spans="2:11" ht="12.95" customHeight="1">
      <c r="B58" s="502">
        <f ca="1">TODAY()</f>
        <v>45940</v>
      </c>
      <c r="C58" s="480"/>
      <c r="D58" s="480"/>
      <c r="E58" s="481"/>
      <c r="F58" s="256" t="s">
        <v>162</v>
      </c>
      <c r="G58" s="257"/>
      <c r="H58" s="258"/>
      <c r="I58" s="259"/>
    </row>
    <row r="59" spans="2:11" ht="12.95" customHeight="1">
      <c r="B59" s="260" t="s">
        <v>163</v>
      </c>
      <c r="D59" s="216"/>
      <c r="E59" s="244"/>
      <c r="F59" s="245" t="s">
        <v>164</v>
      </c>
      <c r="G59" s="261"/>
      <c r="H59" s="262"/>
      <c r="I59" s="185"/>
    </row>
    <row r="60" spans="2:11" ht="12.95" customHeight="1">
      <c r="B60" s="185" t="s">
        <v>165</v>
      </c>
      <c r="C60" s="216"/>
      <c r="D60" s="216"/>
      <c r="E60" s="244"/>
      <c r="F60" s="263"/>
      <c r="G60" s="261"/>
      <c r="H60" s="262"/>
      <c r="I60" s="185"/>
    </row>
    <row r="61" spans="2:11" ht="5.25" customHeight="1">
      <c r="B61" s="164"/>
      <c r="C61" s="165"/>
      <c r="D61" s="165"/>
      <c r="E61" s="233"/>
      <c r="F61" s="164"/>
      <c r="G61" s="165"/>
      <c r="H61" s="233"/>
      <c r="I61" s="185"/>
    </row>
    <row r="62" spans="2:11" ht="17.25" customHeight="1">
      <c r="B62" s="264" t="s">
        <v>166</v>
      </c>
      <c r="C62" s="500" t="s">
        <v>167</v>
      </c>
      <c r="D62" s="435"/>
      <c r="E62" s="501" t="s">
        <v>168</v>
      </c>
      <c r="F62" s="435"/>
      <c r="G62" s="491" t="s">
        <v>169</v>
      </c>
      <c r="H62" s="244"/>
      <c r="I62" s="185"/>
    </row>
    <row r="63" spans="2:11" ht="6" customHeight="1">
      <c r="B63" s="185"/>
      <c r="C63" s="484"/>
      <c r="D63" s="484"/>
      <c r="E63" s="484"/>
      <c r="F63" s="484"/>
      <c r="G63" s="484"/>
      <c r="H63" s="244"/>
      <c r="I63" s="185"/>
    </row>
    <row r="64" spans="2:11" ht="22.5" customHeight="1">
      <c r="B64" s="164"/>
      <c r="C64" s="165" t="s">
        <v>91</v>
      </c>
      <c r="D64" s="165"/>
      <c r="E64" s="165" t="s">
        <v>90</v>
      </c>
      <c r="F64" s="165"/>
      <c r="G64" s="165"/>
      <c r="H64" s="233"/>
      <c r="I64" s="185"/>
    </row>
    <row r="65" spans="2:8" ht="18" customHeight="1">
      <c r="B65" s="485"/>
      <c r="C65" s="484"/>
      <c r="D65" s="484"/>
      <c r="E65" s="484"/>
      <c r="H65" s="236"/>
    </row>
  </sheetData>
  <mergeCells count="26">
    <mergeCell ref="F7:H7"/>
    <mergeCell ref="F21:H21"/>
    <mergeCell ref="J53:K53"/>
    <mergeCell ref="C62:D63"/>
    <mergeCell ref="F48:H48"/>
    <mergeCell ref="E62:F63"/>
    <mergeCell ref="B56:E56"/>
    <mergeCell ref="B58:E58"/>
    <mergeCell ref="F49:H49"/>
    <mergeCell ref="F57:H57"/>
    <mergeCell ref="B49:E49"/>
    <mergeCell ref="F5:H5"/>
    <mergeCell ref="F18:H18"/>
    <mergeCell ref="B65:E65"/>
    <mergeCell ref="F19:H20"/>
    <mergeCell ref="B55:E55"/>
    <mergeCell ref="F8:H12"/>
    <mergeCell ref="F47:H47"/>
    <mergeCell ref="G62:G63"/>
    <mergeCell ref="B45:E45"/>
    <mergeCell ref="F46:H46"/>
    <mergeCell ref="F22:H22"/>
    <mergeCell ref="B50:E50"/>
    <mergeCell ref="F13:H13"/>
    <mergeCell ref="F6:H6"/>
    <mergeCell ref="D23:E23"/>
  </mergeCells>
  <printOptions horizontalCentered="1"/>
  <pageMargins left="0" right="0" top="0.27559055118110237" bottom="0" header="0" footer="0"/>
  <pageSetup paperSize="9" scale="73" orientation="portrait" r:id="rId1"/>
  <colBreaks count="1" manualBreakCount="1">
    <brk id="8" max="64" man="1"/>
  </col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B1:AA87"/>
  <sheetViews>
    <sheetView view="pageBreakPreview" topLeftCell="A131" zoomScale="145" zoomScaleNormal="135" zoomScaleSheetLayoutView="145" workbookViewId="0"/>
  </sheetViews>
  <sheetFormatPr defaultColWidth="9" defaultRowHeight="12.75"/>
  <cols>
    <col min="1" max="1" width="1" style="266" customWidth="1"/>
    <col min="2" max="2" width="1.1640625" style="266" customWidth="1"/>
    <col min="3" max="3" width="3.33203125" style="266" customWidth="1"/>
    <col min="4" max="4" width="10" style="266" customWidth="1"/>
    <col min="5" max="6" width="1.1640625" style="266" customWidth="1"/>
    <col min="7" max="7" width="6.1640625" style="266" customWidth="1"/>
    <col min="8" max="8" width="14.33203125" style="266" customWidth="1"/>
    <col min="9" max="10" width="1.1640625" style="266" customWidth="1"/>
    <col min="11" max="11" width="13.5" style="266" customWidth="1"/>
    <col min="12" max="12" width="7" style="266" customWidth="1"/>
    <col min="13" max="13" width="2.1640625" style="266" customWidth="1"/>
    <col min="14" max="15" width="1.1640625" style="266" customWidth="1"/>
    <col min="16" max="16" width="15.1640625" style="266" customWidth="1"/>
    <col min="17" max="18" width="1.1640625" style="266" customWidth="1"/>
    <col min="19" max="19" width="14.1640625" style="266" customWidth="1"/>
    <col min="20" max="21" width="1.1640625" style="266" customWidth="1"/>
    <col min="22" max="22" width="15.33203125" style="266" customWidth="1"/>
    <col min="23" max="24" width="1.1640625" style="266" customWidth="1"/>
    <col min="25" max="25" width="14.1640625" style="266" customWidth="1"/>
    <col min="26" max="26" width="1.1640625" style="266" customWidth="1"/>
    <col min="27" max="27" width="0.5" style="266" customWidth="1"/>
    <col min="28" max="40" width="9" style="266" customWidth="1"/>
    <col min="41" max="16384" width="9" style="266"/>
  </cols>
  <sheetData>
    <row r="1" spans="2:27" ht="27.75" customHeight="1">
      <c r="C1" s="514"/>
      <c r="D1" s="511"/>
      <c r="E1" s="511"/>
      <c r="F1" s="511"/>
      <c r="G1" s="511"/>
      <c r="H1" s="511"/>
      <c r="I1" s="511"/>
      <c r="J1" s="511"/>
      <c r="K1" s="511"/>
      <c r="L1" s="511"/>
      <c r="M1" s="511"/>
      <c r="N1" s="511"/>
      <c r="O1" s="511"/>
      <c r="P1" s="511"/>
      <c r="Q1" s="511"/>
      <c r="R1" s="511"/>
      <c r="S1" s="511"/>
      <c r="T1" s="511"/>
      <c r="U1" s="511"/>
      <c r="V1" s="511"/>
      <c r="W1" s="511"/>
      <c r="X1" s="511"/>
      <c r="Y1" s="511"/>
      <c r="Z1" s="511"/>
      <c r="AA1" s="511"/>
    </row>
    <row r="2" spans="2:27" ht="0.95" customHeight="1">
      <c r="C2" s="514"/>
      <c r="D2" s="511"/>
      <c r="E2" s="511"/>
      <c r="F2" s="511"/>
      <c r="G2" s="511"/>
      <c r="H2" s="511"/>
      <c r="I2" s="511"/>
      <c r="J2" s="511"/>
      <c r="K2" s="511"/>
      <c r="L2" s="511"/>
      <c r="M2" s="511"/>
      <c r="N2" s="511"/>
      <c r="O2" s="511"/>
      <c r="P2" s="511"/>
      <c r="Q2" s="511"/>
      <c r="R2" s="511"/>
      <c r="S2" s="511"/>
      <c r="T2" s="511"/>
      <c r="U2" s="511"/>
      <c r="V2" s="511"/>
      <c r="W2" s="511"/>
      <c r="X2" s="511"/>
      <c r="Y2" s="511"/>
      <c r="Z2" s="511"/>
      <c r="AA2" s="511"/>
    </row>
    <row r="3" spans="2:27" ht="15.4" customHeight="1">
      <c r="B3" s="267"/>
      <c r="C3" s="522" t="s">
        <v>170</v>
      </c>
      <c r="D3" s="435"/>
      <c r="E3" s="435"/>
      <c r="F3" s="435"/>
      <c r="G3" s="435"/>
      <c r="H3" s="435"/>
      <c r="I3" s="435"/>
      <c r="J3" s="435"/>
      <c r="K3" s="435"/>
      <c r="L3" s="435"/>
      <c r="M3" s="268"/>
      <c r="N3" s="269"/>
      <c r="O3" s="268"/>
      <c r="P3" s="270" t="s">
        <v>1</v>
      </c>
      <c r="Q3" s="271"/>
      <c r="R3" s="271"/>
      <c r="S3" s="271"/>
      <c r="T3" s="271"/>
      <c r="U3" s="271"/>
      <c r="V3" s="271"/>
      <c r="W3" s="271"/>
      <c r="X3" s="271"/>
      <c r="Y3" s="272"/>
      <c r="Z3" s="273"/>
      <c r="AA3" s="274"/>
    </row>
    <row r="4" spans="2:27" ht="16.350000000000001" customHeight="1">
      <c r="B4" s="275"/>
      <c r="C4" s="276" t="s">
        <v>99</v>
      </c>
      <c r="D4" s="276"/>
      <c r="E4" s="276"/>
      <c r="F4" s="276"/>
      <c r="G4" s="276"/>
      <c r="H4" s="276"/>
      <c r="I4" s="276"/>
      <c r="J4" s="276"/>
      <c r="K4" s="276"/>
      <c r="L4" s="276"/>
      <c r="M4" s="274"/>
      <c r="N4" s="277"/>
      <c r="O4" s="274"/>
      <c r="P4" s="278"/>
      <c r="Q4" s="278"/>
      <c r="R4" s="278"/>
      <c r="S4" s="278"/>
      <c r="T4" s="278"/>
      <c r="U4" s="278"/>
      <c r="V4" s="278"/>
      <c r="W4" s="278"/>
      <c r="X4" s="278"/>
      <c r="Y4" s="278"/>
      <c r="Z4" s="279"/>
      <c r="AA4" s="274"/>
    </row>
    <row r="5" spans="2:27" ht="16.350000000000001" customHeight="1">
      <c r="B5" s="275"/>
      <c r="C5" s="276" t="s">
        <v>171</v>
      </c>
      <c r="D5" s="276"/>
      <c r="E5" s="276"/>
      <c r="F5" s="276"/>
      <c r="G5" s="276"/>
      <c r="H5" s="276"/>
      <c r="I5" s="276"/>
      <c r="J5" s="276"/>
      <c r="K5" s="276"/>
      <c r="L5" s="276"/>
      <c r="M5" s="274"/>
      <c r="N5" s="277"/>
      <c r="O5" s="274"/>
      <c r="P5" s="512" t="s">
        <v>172</v>
      </c>
      <c r="Q5" s="511"/>
      <c r="R5" s="511"/>
      <c r="S5" s="511"/>
      <c r="T5" s="511"/>
      <c r="U5" s="511"/>
      <c r="V5" s="511"/>
      <c r="W5" s="511"/>
      <c r="X5" s="511"/>
      <c r="Y5" s="511"/>
      <c r="Z5" s="279"/>
      <c r="AA5" s="274"/>
    </row>
    <row r="6" spans="2:27" ht="16.350000000000001" customHeight="1">
      <c r="B6" s="275"/>
      <c r="C6" s="276" t="s">
        <v>173</v>
      </c>
      <c r="D6" s="276"/>
      <c r="E6" s="276"/>
      <c r="F6" s="276"/>
      <c r="G6" s="276"/>
      <c r="H6" s="276"/>
      <c r="I6" s="276"/>
      <c r="J6" s="276"/>
      <c r="K6" s="276">
        <f>289/2</f>
        <v>144.5</v>
      </c>
      <c r="L6" s="276"/>
      <c r="M6" s="274"/>
      <c r="N6" s="277"/>
      <c r="O6" s="274"/>
      <c r="P6" s="511"/>
      <c r="Q6" s="511"/>
      <c r="R6" s="511"/>
      <c r="S6" s="511"/>
      <c r="T6" s="511"/>
      <c r="U6" s="511"/>
      <c r="V6" s="511"/>
      <c r="W6" s="511"/>
      <c r="X6" s="511"/>
      <c r="Y6" s="511"/>
      <c r="Z6" s="279"/>
      <c r="AA6" s="274"/>
    </row>
    <row r="7" spans="2:27" ht="16.350000000000001" customHeight="1">
      <c r="B7" s="275"/>
      <c r="C7" s="276" t="s">
        <v>138</v>
      </c>
      <c r="D7" s="276"/>
      <c r="E7" s="276"/>
      <c r="F7" s="276"/>
      <c r="G7" s="276"/>
      <c r="H7" s="276"/>
      <c r="I7" s="276"/>
      <c r="J7" s="276"/>
      <c r="K7" s="276"/>
      <c r="L7" s="276"/>
      <c r="M7" s="274"/>
      <c r="N7" s="277"/>
      <c r="O7" s="274"/>
      <c r="P7" s="511"/>
      <c r="Q7" s="511"/>
      <c r="R7" s="511"/>
      <c r="S7" s="511"/>
      <c r="T7" s="511"/>
      <c r="U7" s="511"/>
      <c r="V7" s="511"/>
      <c r="W7" s="511"/>
      <c r="X7" s="511"/>
      <c r="Y7" s="511"/>
      <c r="Z7" s="279"/>
      <c r="AA7" s="274"/>
    </row>
    <row r="8" spans="2:27" ht="16.350000000000001" customHeight="1">
      <c r="B8" s="275"/>
      <c r="C8" s="276"/>
      <c r="D8" s="276"/>
      <c r="E8" s="276"/>
      <c r="F8" s="276"/>
      <c r="G8" s="276"/>
      <c r="H8" s="276"/>
      <c r="I8" s="276"/>
      <c r="J8" s="276"/>
      <c r="K8" s="276"/>
      <c r="L8" s="276"/>
      <c r="M8" s="274"/>
      <c r="N8" s="280"/>
      <c r="O8" s="274"/>
      <c r="P8" s="511"/>
      <c r="Q8" s="511"/>
      <c r="R8" s="511"/>
      <c r="S8" s="511"/>
      <c r="T8" s="511"/>
      <c r="U8" s="511"/>
      <c r="V8" s="511"/>
      <c r="W8" s="511"/>
      <c r="X8" s="511"/>
      <c r="Y8" s="511"/>
      <c r="Z8" s="279"/>
      <c r="AA8" s="274"/>
    </row>
    <row r="9" spans="2:27" ht="15.4" customHeight="1">
      <c r="B9" s="267"/>
      <c r="C9" s="522" t="s">
        <v>66</v>
      </c>
      <c r="D9" s="435"/>
      <c r="E9" s="435"/>
      <c r="F9" s="435"/>
      <c r="G9" s="435"/>
      <c r="H9" s="435"/>
      <c r="I9" s="435"/>
      <c r="J9" s="435"/>
      <c r="K9" s="435"/>
      <c r="L9" s="435"/>
      <c r="M9" s="268"/>
      <c r="N9" s="277"/>
      <c r="O9" s="274"/>
      <c r="P9" s="517" t="s">
        <v>174</v>
      </c>
      <c r="Q9" s="511"/>
      <c r="R9" s="511"/>
      <c r="S9" s="511"/>
      <c r="T9" s="511"/>
      <c r="U9" s="511"/>
      <c r="V9" s="511"/>
      <c r="W9" s="511"/>
      <c r="X9" s="511"/>
      <c r="Y9" s="511"/>
      <c r="Z9" s="279"/>
      <c r="AA9" s="274"/>
    </row>
    <row r="10" spans="2:27" ht="15.95" customHeight="1">
      <c r="B10" s="275"/>
      <c r="C10" s="276" t="s">
        <v>175</v>
      </c>
      <c r="D10" s="276"/>
      <c r="E10" s="281"/>
      <c r="F10" s="281"/>
      <c r="G10" s="281"/>
      <c r="H10" s="281"/>
      <c r="I10" s="281"/>
      <c r="J10" s="281"/>
      <c r="K10" s="281"/>
      <c r="L10" s="281"/>
      <c r="M10" s="274"/>
      <c r="N10" s="277"/>
      <c r="O10" s="274"/>
      <c r="P10" s="511"/>
      <c r="Q10" s="511"/>
      <c r="R10" s="511"/>
      <c r="S10" s="511"/>
      <c r="T10" s="511"/>
      <c r="U10" s="511"/>
      <c r="V10" s="511"/>
      <c r="W10" s="511"/>
      <c r="X10" s="511"/>
      <c r="Y10" s="511"/>
      <c r="Z10" s="279"/>
      <c r="AA10" s="274"/>
    </row>
    <row r="11" spans="2:27" ht="15.95" customHeight="1">
      <c r="B11" s="275"/>
      <c r="C11" s="276" t="s">
        <v>176</v>
      </c>
      <c r="D11" s="276"/>
      <c r="E11" s="281"/>
      <c r="F11" s="281"/>
      <c r="G11" s="281"/>
      <c r="H11" s="281"/>
      <c r="I11" s="281"/>
      <c r="J11" s="281"/>
      <c r="K11" s="281"/>
      <c r="L11" s="281"/>
      <c r="M11" s="274"/>
      <c r="N11" s="277"/>
      <c r="O11" s="274"/>
      <c r="P11" s="525" t="s">
        <v>177</v>
      </c>
      <c r="Q11" s="511"/>
      <c r="R11" s="511"/>
      <c r="S11" s="511"/>
      <c r="T11" s="511"/>
      <c r="U11" s="511"/>
      <c r="V11" s="511"/>
      <c r="W11" s="511"/>
      <c r="X11" s="511"/>
      <c r="Y11" s="511"/>
      <c r="Z11" s="279"/>
      <c r="AA11" s="274"/>
    </row>
    <row r="12" spans="2:27" ht="15.95" customHeight="1">
      <c r="B12" s="275"/>
      <c r="C12" s="282" t="s">
        <v>178</v>
      </c>
      <c r="D12" s="283"/>
      <c r="E12" s="283"/>
      <c r="F12" s="283"/>
      <c r="G12" s="283"/>
      <c r="H12" s="283"/>
      <c r="I12" s="281"/>
      <c r="J12" s="281"/>
      <c r="K12" s="281"/>
      <c r="L12" s="281"/>
      <c r="M12" s="274"/>
      <c r="N12" s="277"/>
      <c r="O12" s="274"/>
      <c r="P12" s="511"/>
      <c r="Q12" s="511"/>
      <c r="R12" s="511"/>
      <c r="S12" s="511"/>
      <c r="T12" s="511"/>
      <c r="U12" s="511"/>
      <c r="V12" s="511"/>
      <c r="W12" s="511"/>
      <c r="X12" s="511"/>
      <c r="Y12" s="511"/>
      <c r="Z12" s="279"/>
      <c r="AA12" s="274"/>
    </row>
    <row r="13" spans="2:27" ht="15.95" customHeight="1">
      <c r="B13" s="275"/>
      <c r="C13" s="276" t="s">
        <v>179</v>
      </c>
      <c r="D13" s="276"/>
      <c r="E13" s="281"/>
      <c r="F13" s="281"/>
      <c r="G13" s="281"/>
      <c r="H13" s="281"/>
      <c r="I13" s="281"/>
      <c r="J13" s="281"/>
      <c r="K13" s="281"/>
      <c r="L13" s="281"/>
      <c r="M13" s="274"/>
      <c r="N13" s="277"/>
      <c r="O13" s="274"/>
      <c r="P13" s="511"/>
      <c r="Q13" s="511"/>
      <c r="R13" s="511"/>
      <c r="S13" s="511"/>
      <c r="T13" s="511"/>
      <c r="U13" s="511"/>
      <c r="V13" s="511"/>
      <c r="W13" s="511"/>
      <c r="X13" s="511"/>
      <c r="Y13" s="511"/>
      <c r="Z13" s="279"/>
      <c r="AA13" s="274"/>
    </row>
    <row r="14" spans="2:27" ht="15.95" customHeight="1">
      <c r="B14" s="275"/>
      <c r="C14" s="276"/>
      <c r="D14" s="276"/>
      <c r="E14" s="281"/>
      <c r="F14" s="281"/>
      <c r="G14" s="281"/>
      <c r="H14" s="281"/>
      <c r="I14" s="281"/>
      <c r="J14" s="281"/>
      <c r="K14" s="281"/>
      <c r="L14" s="281"/>
      <c r="M14" s="274"/>
      <c r="N14" s="277"/>
      <c r="O14" s="274"/>
      <c r="P14" s="521" t="s">
        <v>180</v>
      </c>
      <c r="Q14" s="511"/>
      <c r="R14" s="511"/>
      <c r="S14" s="511"/>
      <c r="T14" s="511"/>
      <c r="U14" s="511"/>
      <c r="V14" s="511"/>
      <c r="W14" s="511"/>
      <c r="X14" s="511"/>
      <c r="Y14" s="511"/>
      <c r="Z14" s="279"/>
      <c r="AA14" s="274"/>
    </row>
    <row r="15" spans="2:27" ht="3.95" customHeight="1">
      <c r="B15" s="275"/>
      <c r="C15" s="281"/>
      <c r="D15" s="281"/>
      <c r="E15" s="281"/>
      <c r="F15" s="281"/>
      <c r="G15" s="281"/>
      <c r="H15" s="281"/>
      <c r="I15" s="281"/>
      <c r="J15" s="281"/>
      <c r="K15" s="281"/>
      <c r="L15" s="281"/>
      <c r="M15" s="274"/>
      <c r="N15" s="277"/>
      <c r="O15" s="274"/>
      <c r="P15" s="284"/>
      <c r="Q15" s="284"/>
      <c r="R15" s="284"/>
      <c r="S15" s="284"/>
      <c r="T15" s="284"/>
      <c r="U15" s="284"/>
      <c r="V15" s="284"/>
      <c r="W15" s="284"/>
      <c r="X15" s="284"/>
      <c r="Y15" s="284"/>
      <c r="Z15" s="279"/>
      <c r="AA15" s="274"/>
    </row>
    <row r="16" spans="2:27" ht="15.4" customHeight="1">
      <c r="B16" s="267"/>
      <c r="C16" s="524" t="s">
        <v>67</v>
      </c>
      <c r="D16" s="435"/>
      <c r="E16" s="435"/>
      <c r="F16" s="435"/>
      <c r="G16" s="435"/>
      <c r="H16" s="435"/>
      <c r="I16" s="435"/>
      <c r="J16" s="435"/>
      <c r="K16" s="435"/>
      <c r="L16" s="435"/>
      <c r="M16" s="286"/>
      <c r="N16" s="287"/>
      <c r="O16" s="286"/>
      <c r="P16" s="288" t="s">
        <v>68</v>
      </c>
      <c r="Q16" s="272"/>
      <c r="R16" s="272"/>
      <c r="S16" s="272"/>
      <c r="T16" s="272"/>
      <c r="U16" s="272"/>
      <c r="V16" s="272"/>
      <c r="W16" s="272"/>
      <c r="X16" s="272"/>
      <c r="Y16" s="272"/>
      <c r="Z16" s="289"/>
      <c r="AA16" s="290"/>
    </row>
    <row r="17" spans="2:27" ht="6" customHeight="1">
      <c r="B17" s="275"/>
      <c r="C17" s="291"/>
      <c r="D17" s="291"/>
      <c r="E17" s="291"/>
      <c r="F17" s="291"/>
      <c r="G17" s="291"/>
      <c r="H17" s="291"/>
      <c r="I17" s="291"/>
      <c r="J17" s="291"/>
      <c r="K17" s="291"/>
      <c r="L17" s="291"/>
      <c r="M17" s="292"/>
      <c r="N17" s="293"/>
      <c r="O17" s="292"/>
      <c r="P17" s="294"/>
      <c r="Q17" s="278"/>
      <c r="R17" s="278"/>
      <c r="S17" s="278"/>
      <c r="T17" s="278"/>
      <c r="U17" s="278"/>
      <c r="V17" s="278"/>
      <c r="W17" s="278"/>
      <c r="X17" s="278"/>
      <c r="Y17" s="278"/>
      <c r="Z17" s="295"/>
      <c r="AA17" s="290"/>
    </row>
    <row r="18" spans="2:27" ht="17.25" customHeight="1">
      <c r="B18" s="275"/>
      <c r="C18" s="296" t="s">
        <v>69</v>
      </c>
      <c r="D18" s="296"/>
      <c r="E18" s="297"/>
      <c r="F18" s="297"/>
      <c r="H18" s="298"/>
      <c r="I18" s="299"/>
      <c r="J18" s="299"/>
      <c r="K18" s="299"/>
      <c r="L18" s="299"/>
      <c r="M18" s="292"/>
      <c r="N18" s="293"/>
      <c r="O18" s="292"/>
      <c r="P18" s="375" t="s">
        <v>181</v>
      </c>
      <c r="Q18" s="300"/>
      <c r="R18" s="300"/>
      <c r="S18" s="300"/>
      <c r="T18" s="300"/>
      <c r="U18" s="300"/>
      <c r="V18" s="300"/>
      <c r="W18" s="300"/>
      <c r="X18" s="300"/>
      <c r="Y18" s="300"/>
      <c r="Z18" s="295"/>
      <c r="AA18" s="290"/>
    </row>
    <row r="19" spans="2:27" ht="15" customHeight="1">
      <c r="B19" s="275"/>
      <c r="C19" s="301" t="s">
        <v>15</v>
      </c>
      <c r="D19" s="301"/>
      <c r="E19" s="302"/>
      <c r="F19" s="302"/>
      <c r="H19" s="303"/>
      <c r="I19" s="304"/>
      <c r="J19" s="304"/>
      <c r="K19" s="304"/>
      <c r="L19" s="304"/>
      <c r="M19" s="292"/>
      <c r="N19" s="293"/>
      <c r="O19" s="292"/>
      <c r="P19" s="376" t="s">
        <v>182</v>
      </c>
      <c r="Q19" s="300"/>
      <c r="R19" s="300"/>
      <c r="S19" s="300"/>
      <c r="T19" s="300"/>
      <c r="U19" s="300"/>
      <c r="V19" s="300"/>
      <c r="W19" s="300"/>
      <c r="X19" s="300"/>
      <c r="Y19" s="300"/>
      <c r="Z19" s="295"/>
      <c r="AA19" s="290"/>
    </row>
    <row r="20" spans="2:27" ht="15" customHeight="1">
      <c r="B20" s="275"/>
      <c r="C20" s="301" t="s">
        <v>17</v>
      </c>
      <c r="D20" s="301"/>
      <c r="E20" s="302"/>
      <c r="F20" s="302"/>
      <c r="G20" s="305" t="s">
        <v>183</v>
      </c>
      <c r="H20" s="305"/>
      <c r="I20" s="304"/>
      <c r="J20" s="304"/>
      <c r="K20" s="304"/>
      <c r="L20" s="304"/>
      <c r="M20" s="292"/>
      <c r="N20" s="293"/>
      <c r="O20" s="292"/>
      <c r="P20"/>
      <c r="Q20" s="306"/>
      <c r="R20" s="306"/>
      <c r="T20" s="306"/>
      <c r="U20" s="306"/>
      <c r="V20" s="306"/>
      <c r="W20" s="306"/>
      <c r="X20" s="306"/>
      <c r="Y20" s="306"/>
      <c r="Z20" s="295"/>
      <c r="AA20" s="290"/>
    </row>
    <row r="21" spans="2:27" ht="15" customHeight="1">
      <c r="B21" s="275"/>
      <c r="C21" s="301"/>
      <c r="D21" s="301"/>
      <c r="E21" s="302"/>
      <c r="F21" s="302"/>
      <c r="G21" s="305"/>
      <c r="H21" s="305"/>
      <c r="I21" s="304"/>
      <c r="J21" s="304"/>
      <c r="K21" s="304"/>
      <c r="L21" s="304"/>
      <c r="M21" s="292"/>
      <c r="N21" s="293"/>
      <c r="O21" s="292"/>
      <c r="P21" s="377" t="s">
        <v>184</v>
      </c>
      <c r="Q21" s="307"/>
      <c r="R21" s="307"/>
      <c r="T21" s="307"/>
      <c r="U21" s="307"/>
      <c r="V21" s="307"/>
      <c r="W21" s="307"/>
      <c r="X21" s="307"/>
      <c r="Y21" s="307"/>
      <c r="Z21" s="295"/>
      <c r="AA21" s="290"/>
    </row>
    <row r="22" spans="2:27" ht="15" customHeight="1">
      <c r="B22" s="275"/>
      <c r="E22" s="302"/>
      <c r="F22" s="302"/>
      <c r="G22" s="302"/>
      <c r="H22" s="302"/>
      <c r="I22" s="302"/>
      <c r="J22" s="302"/>
      <c r="K22" s="302"/>
      <c r="L22" s="302"/>
      <c r="M22" s="292"/>
      <c r="N22" s="293"/>
      <c r="O22" s="292"/>
      <c r="P22" s="376" t="s">
        <v>185</v>
      </c>
      <c r="Q22" s="300"/>
      <c r="R22" s="300"/>
      <c r="S22" s="300"/>
      <c r="T22" s="300"/>
      <c r="U22" s="300"/>
      <c r="W22" s="300"/>
      <c r="X22" s="300"/>
      <c r="Y22" s="300"/>
      <c r="Z22" s="295"/>
      <c r="AA22" s="290"/>
    </row>
    <row r="23" spans="2:27" ht="13.5" customHeight="1">
      <c r="B23" s="275"/>
      <c r="E23" s="302"/>
      <c r="F23" s="302"/>
      <c r="G23" s="302"/>
      <c r="H23" s="302"/>
      <c r="I23" s="302"/>
      <c r="J23" s="302"/>
      <c r="K23" s="302"/>
      <c r="L23" s="302"/>
      <c r="M23" s="292"/>
      <c r="N23" s="293"/>
      <c r="O23" s="292"/>
      <c r="P23" s="18"/>
      <c r="Q23" s="278"/>
      <c r="R23" s="278"/>
      <c r="S23" s="278"/>
      <c r="T23" s="278"/>
      <c r="U23" s="278"/>
      <c r="V23" s="278"/>
      <c r="W23" s="278"/>
      <c r="X23" s="278"/>
      <c r="Y23" s="278"/>
      <c r="Z23" s="295"/>
      <c r="AA23" s="290"/>
    </row>
    <row r="24" spans="2:27" ht="13.5" customHeight="1">
      <c r="B24" s="275"/>
      <c r="E24" s="302"/>
      <c r="F24" s="302"/>
      <c r="G24" s="302"/>
      <c r="H24" s="302"/>
      <c r="I24" s="302"/>
      <c r="J24" s="302"/>
      <c r="K24" s="302"/>
      <c r="L24" s="302"/>
      <c r="M24" s="292"/>
      <c r="N24" s="293"/>
      <c r="O24" s="292"/>
      <c r="P24" s="278"/>
      <c r="Q24" s="278"/>
      <c r="R24" s="278"/>
      <c r="S24" s="278"/>
      <c r="T24" s="278"/>
      <c r="U24" s="278"/>
      <c r="V24" s="300"/>
      <c r="W24" s="278"/>
      <c r="X24" s="278"/>
      <c r="Y24" s="278"/>
      <c r="Z24" s="295"/>
      <c r="AA24" s="290"/>
    </row>
    <row r="25" spans="2:27" ht="12" customHeight="1">
      <c r="B25" s="275"/>
      <c r="E25" s="302"/>
      <c r="F25" s="302"/>
      <c r="G25" s="302"/>
      <c r="H25" s="302"/>
      <c r="I25" s="302"/>
      <c r="J25" s="302"/>
      <c r="K25" s="302"/>
      <c r="L25" s="302"/>
      <c r="M25" s="292"/>
      <c r="N25" s="293"/>
      <c r="O25" s="292"/>
      <c r="P25" s="523" t="s">
        <v>121</v>
      </c>
      <c r="Q25" s="511"/>
      <c r="R25" s="511"/>
      <c r="S25" s="511"/>
      <c r="T25" s="511"/>
      <c r="U25" s="511"/>
      <c r="V25" s="511"/>
      <c r="W25" s="511"/>
      <c r="X25" s="511"/>
      <c r="Y25" s="511"/>
      <c r="Z25" s="295"/>
      <c r="AA25" s="290"/>
    </row>
    <row r="26" spans="2:27" ht="3" customHeight="1">
      <c r="B26" s="275"/>
      <c r="C26" s="308"/>
      <c r="D26" s="308"/>
      <c r="E26" s="308"/>
      <c r="F26" s="308"/>
      <c r="G26" s="308"/>
      <c r="H26" s="308"/>
      <c r="I26" s="308"/>
      <c r="J26" s="308"/>
      <c r="K26" s="308"/>
      <c r="L26" s="308"/>
      <c r="M26" s="274"/>
      <c r="N26" s="277"/>
      <c r="O26" s="292"/>
      <c r="Q26" s="309"/>
      <c r="R26" s="309"/>
      <c r="S26" s="309"/>
      <c r="T26" s="309"/>
      <c r="U26" s="309"/>
      <c r="V26" s="309"/>
      <c r="W26" s="309"/>
      <c r="X26" s="309"/>
      <c r="Y26" s="309"/>
      <c r="Z26" s="310"/>
      <c r="AA26" s="274"/>
    </row>
    <row r="27" spans="2:27" ht="15.4" customHeight="1">
      <c r="B27" s="267"/>
      <c r="C27" s="311" t="s">
        <v>73</v>
      </c>
      <c r="D27" s="311"/>
      <c r="E27" s="312"/>
      <c r="F27" s="313"/>
      <c r="G27" s="311" t="s">
        <v>186</v>
      </c>
      <c r="H27" s="311"/>
      <c r="I27" s="314"/>
      <c r="J27" s="285"/>
      <c r="K27" s="315" t="s">
        <v>187</v>
      </c>
      <c r="L27" s="316"/>
      <c r="M27" s="315"/>
      <c r="N27" s="315"/>
      <c r="O27" s="315"/>
      <c r="P27" s="315"/>
      <c r="Q27" s="285"/>
      <c r="R27" s="317"/>
      <c r="S27" s="285" t="s">
        <v>188</v>
      </c>
      <c r="T27" s="314"/>
      <c r="U27" s="285"/>
      <c r="V27" s="285" t="s">
        <v>189</v>
      </c>
      <c r="W27" s="285"/>
      <c r="X27" s="317"/>
      <c r="Y27" s="285" t="s">
        <v>23</v>
      </c>
      <c r="Z27" s="318"/>
      <c r="AA27" s="274"/>
    </row>
    <row r="28" spans="2:27" ht="13.5" customHeight="1">
      <c r="B28" s="275"/>
      <c r="C28" s="319"/>
      <c r="D28" s="319"/>
      <c r="E28" s="291"/>
      <c r="F28" s="320"/>
      <c r="G28" s="301" t="s">
        <v>190</v>
      </c>
      <c r="H28" s="301"/>
      <c r="I28" s="321"/>
      <c r="J28" s="291"/>
      <c r="K28" s="322" t="s">
        <v>191</v>
      </c>
      <c r="M28" s="322"/>
      <c r="N28" s="322"/>
      <c r="O28" s="322"/>
      <c r="P28" s="322"/>
      <c r="Q28" s="291"/>
      <c r="R28" s="320"/>
      <c r="S28" s="291" t="s">
        <v>192</v>
      </c>
      <c r="T28" s="321"/>
      <c r="U28" s="291"/>
      <c r="V28" s="291" t="s">
        <v>193</v>
      </c>
      <c r="W28" s="291"/>
      <c r="X28" s="320"/>
      <c r="Y28" s="291" t="s">
        <v>194</v>
      </c>
      <c r="Z28" s="318"/>
      <c r="AA28" s="274"/>
    </row>
    <row r="29" spans="2:27" ht="13.5" customHeight="1">
      <c r="B29" s="275"/>
      <c r="C29" s="319"/>
      <c r="D29" s="319"/>
      <c r="E29" s="319"/>
      <c r="F29" s="323"/>
      <c r="G29" s="319"/>
      <c r="H29" s="319"/>
      <c r="I29" s="324"/>
      <c r="J29" s="319"/>
      <c r="K29" s="322" t="s">
        <v>195</v>
      </c>
      <c r="M29" s="322"/>
      <c r="N29" s="322"/>
      <c r="O29" s="322"/>
      <c r="P29" s="322"/>
      <c r="Q29" s="319"/>
      <c r="R29" s="323"/>
      <c r="S29" s="291" t="s">
        <v>196</v>
      </c>
      <c r="T29" s="324"/>
      <c r="U29" s="319"/>
      <c r="V29" s="291" t="s">
        <v>197</v>
      </c>
      <c r="W29" s="319"/>
      <c r="X29" s="323"/>
      <c r="Y29" s="319"/>
      <c r="Z29" s="318"/>
      <c r="AA29" s="274"/>
    </row>
    <row r="30" spans="2:27" ht="13.5" customHeight="1">
      <c r="B30" s="275"/>
      <c r="C30" s="319"/>
      <c r="D30" s="319"/>
      <c r="E30" s="319"/>
      <c r="F30" s="323"/>
      <c r="G30" s="319"/>
      <c r="H30" s="319"/>
      <c r="I30" s="324"/>
      <c r="J30" s="319"/>
      <c r="K30" s="319"/>
      <c r="L30" s="322"/>
      <c r="M30" s="322"/>
      <c r="N30" s="322"/>
      <c r="O30" s="322"/>
      <c r="P30" s="322"/>
      <c r="Q30" s="319"/>
      <c r="R30" s="323"/>
      <c r="S30" s="319"/>
      <c r="T30" s="324"/>
      <c r="U30" s="319"/>
      <c r="V30" s="291" t="s">
        <v>198</v>
      </c>
      <c r="W30" s="319"/>
      <c r="X30" s="323"/>
      <c r="Y30" s="319"/>
      <c r="Z30" s="318"/>
      <c r="AA30" s="274"/>
    </row>
    <row r="31" spans="2:27" ht="13.5" customHeight="1">
      <c r="B31" s="275"/>
      <c r="C31" s="319"/>
      <c r="D31" s="319"/>
      <c r="E31" s="319"/>
      <c r="F31" s="323"/>
      <c r="G31" s="319"/>
      <c r="H31" s="319"/>
      <c r="I31" s="324"/>
      <c r="J31" s="319"/>
      <c r="K31" s="319"/>
      <c r="L31" s="322"/>
      <c r="M31" s="322"/>
      <c r="N31" s="322"/>
      <c r="O31" s="322"/>
      <c r="P31" s="322"/>
      <c r="Q31" s="319"/>
      <c r="R31" s="323"/>
      <c r="S31" s="319"/>
      <c r="T31" s="324"/>
      <c r="U31" s="319"/>
      <c r="V31" s="291" t="s">
        <v>199</v>
      </c>
      <c r="W31" s="319"/>
      <c r="X31" s="323"/>
      <c r="Y31" s="319"/>
      <c r="Z31" s="318"/>
      <c r="AA31" s="274"/>
    </row>
    <row r="32" spans="2:27" ht="3" customHeight="1">
      <c r="B32" s="325"/>
      <c r="C32" s="326"/>
      <c r="D32" s="326"/>
      <c r="E32" s="326"/>
      <c r="F32" s="327"/>
      <c r="G32" s="326"/>
      <c r="H32" s="326"/>
      <c r="I32" s="328"/>
      <c r="J32" s="326"/>
      <c r="K32" s="326"/>
      <c r="L32" s="329"/>
      <c r="M32" s="329"/>
      <c r="N32" s="329"/>
      <c r="O32" s="329"/>
      <c r="P32" s="329"/>
      <c r="Q32" s="326"/>
      <c r="R32" s="327"/>
      <c r="S32" s="326"/>
      <c r="T32" s="328"/>
      <c r="U32" s="326"/>
      <c r="V32" s="326"/>
      <c r="W32" s="326"/>
      <c r="X32" s="327"/>
      <c r="Y32" s="326"/>
      <c r="Z32" s="330"/>
      <c r="AA32" s="274"/>
    </row>
    <row r="33" spans="2:27" ht="17.100000000000001" customHeight="1">
      <c r="B33" s="275"/>
      <c r="C33" s="516">
        <v>1</v>
      </c>
      <c r="D33" s="435"/>
      <c r="E33" s="332"/>
      <c r="F33" s="333"/>
      <c r="G33" s="373" t="s">
        <v>29</v>
      </c>
      <c r="H33" s="334"/>
      <c r="I33" s="335"/>
      <c r="J33" s="334"/>
      <c r="K33" s="336" t="s">
        <v>128</v>
      </c>
      <c r="L33" s="336"/>
      <c r="M33" s="336"/>
      <c r="N33" s="315"/>
      <c r="O33" s="336"/>
      <c r="P33" s="336"/>
      <c r="Q33" s="334"/>
      <c r="R33" s="337"/>
      <c r="S33" s="334" t="s">
        <v>30</v>
      </c>
      <c r="T33" s="335"/>
      <c r="U33" s="334"/>
      <c r="V33" s="334" t="s">
        <v>200</v>
      </c>
      <c r="W33" s="334"/>
      <c r="X33" s="337"/>
      <c r="Y33" s="338" t="s">
        <v>32</v>
      </c>
      <c r="Z33" s="339"/>
      <c r="AA33" s="290"/>
    </row>
    <row r="34" spans="2:27" ht="17.100000000000001" customHeight="1">
      <c r="B34" s="275"/>
      <c r="C34" s="331"/>
      <c r="D34" s="331"/>
      <c r="E34" s="332"/>
      <c r="F34" s="333"/>
      <c r="G34" s="334"/>
      <c r="H34" s="334"/>
      <c r="I34" s="335"/>
      <c r="J34" s="334"/>
      <c r="K34" s="331" t="s">
        <v>201</v>
      </c>
      <c r="L34" s="331"/>
      <c r="M34" s="331"/>
      <c r="N34" s="322"/>
      <c r="O34" s="331"/>
      <c r="P34" s="331"/>
      <c r="Q34" s="332"/>
      <c r="R34" s="333"/>
      <c r="S34" s="332"/>
      <c r="T34" s="340"/>
      <c r="U34" s="332"/>
      <c r="V34" s="334" t="s">
        <v>202</v>
      </c>
      <c r="W34" s="334"/>
      <c r="X34" s="337"/>
      <c r="Y34" s="334" t="s">
        <v>34</v>
      </c>
      <c r="Z34" s="318"/>
      <c r="AA34" s="341"/>
    </row>
    <row r="35" spans="2:27" ht="17.100000000000001" customHeight="1">
      <c r="B35" s="275"/>
      <c r="C35" s="331"/>
      <c r="D35" s="331"/>
      <c r="E35" s="332"/>
      <c r="F35" s="333"/>
      <c r="G35" s="334"/>
      <c r="H35" s="334"/>
      <c r="I35" s="335"/>
      <c r="J35" s="334"/>
      <c r="K35" s="336" t="s">
        <v>203</v>
      </c>
      <c r="L35" s="336"/>
      <c r="M35" s="336"/>
      <c r="N35" s="322"/>
      <c r="O35" s="336"/>
      <c r="P35" s="336"/>
      <c r="Q35" s="334"/>
      <c r="R35" s="337"/>
      <c r="S35" s="332"/>
      <c r="T35" s="340"/>
      <c r="U35" s="332"/>
      <c r="V35" s="332"/>
      <c r="W35" s="332"/>
      <c r="X35" s="333"/>
      <c r="Y35" s="332"/>
      <c r="Z35" s="342"/>
      <c r="AA35" s="341"/>
    </row>
    <row r="36" spans="2:27" ht="17.100000000000001" customHeight="1">
      <c r="B36" s="275"/>
      <c r="C36" s="331"/>
      <c r="D36" s="331"/>
      <c r="E36" s="332"/>
      <c r="F36" s="333"/>
      <c r="G36" s="332"/>
      <c r="H36" s="332"/>
      <c r="I36" s="340"/>
      <c r="J36" s="332"/>
      <c r="K36" s="336" t="s">
        <v>204</v>
      </c>
      <c r="L36" s="336"/>
      <c r="M36" s="336"/>
      <c r="N36" s="322"/>
      <c r="O36" s="336"/>
      <c r="P36" s="336"/>
      <c r="Q36" s="334"/>
      <c r="R36" s="337"/>
      <c r="S36" s="332"/>
      <c r="T36" s="340"/>
      <c r="U36" s="332"/>
      <c r="V36" s="332"/>
      <c r="W36" s="332"/>
      <c r="X36" s="333"/>
      <c r="Y36" s="332"/>
      <c r="Z36" s="342"/>
      <c r="AA36" s="341"/>
    </row>
    <row r="37" spans="2:27" ht="17.100000000000001" customHeight="1">
      <c r="B37" s="275"/>
      <c r="C37" s="331"/>
      <c r="D37" s="331"/>
      <c r="E37" s="332"/>
      <c r="F37" s="333"/>
      <c r="G37" s="332"/>
      <c r="H37" s="332"/>
      <c r="I37" s="340"/>
      <c r="J37" s="332"/>
      <c r="K37" s="336" t="s">
        <v>36</v>
      </c>
      <c r="L37" s="336"/>
      <c r="M37" s="336"/>
      <c r="N37" s="322"/>
      <c r="O37" s="336"/>
      <c r="P37" s="336"/>
      <c r="Q37" s="334"/>
      <c r="R37" s="337"/>
      <c r="S37" s="332"/>
      <c r="T37" s="340"/>
      <c r="U37" s="332"/>
      <c r="V37" s="332"/>
      <c r="W37" s="332"/>
      <c r="X37" s="333"/>
      <c r="Y37" s="332"/>
      <c r="Z37" s="342"/>
      <c r="AA37" s="341"/>
    </row>
    <row r="38" spans="2:27" ht="17.100000000000001" customHeight="1">
      <c r="B38" s="275"/>
      <c r="C38" s="331"/>
      <c r="D38" s="331"/>
      <c r="E38" s="332"/>
      <c r="F38" s="333"/>
      <c r="G38" s="332"/>
      <c r="H38" s="332"/>
      <c r="I38" s="340"/>
      <c r="J38" s="332"/>
      <c r="K38" s="336" t="s">
        <v>37</v>
      </c>
      <c r="L38" s="336"/>
      <c r="M38" s="336"/>
      <c r="N38" s="322"/>
      <c r="O38" s="336"/>
      <c r="P38" s="336"/>
      <c r="Q38" s="334"/>
      <c r="R38" s="337"/>
      <c r="S38" s="332"/>
      <c r="T38" s="340"/>
      <c r="U38" s="332"/>
      <c r="V38" s="332"/>
      <c r="W38" s="332"/>
      <c r="X38" s="333"/>
      <c r="Y38" s="332"/>
      <c r="Z38" s="342"/>
      <c r="AA38" s="341"/>
    </row>
    <row r="39" spans="2:27" ht="17.100000000000001" customHeight="1">
      <c r="B39" s="275"/>
      <c r="C39" s="331"/>
      <c r="D39" s="331"/>
      <c r="E39" s="332"/>
      <c r="F39" s="333"/>
      <c r="G39" s="332"/>
      <c r="H39" s="332"/>
      <c r="I39" s="340"/>
      <c r="J39" s="332"/>
      <c r="K39" s="336" t="s">
        <v>39</v>
      </c>
      <c r="L39" s="336"/>
      <c r="M39" s="336"/>
      <c r="N39" s="322"/>
      <c r="O39" s="336"/>
      <c r="P39" s="336"/>
      <c r="Q39" s="334"/>
      <c r="R39" s="337"/>
      <c r="S39" s="332"/>
      <c r="T39" s="340"/>
      <c r="U39" s="332"/>
      <c r="V39" s="332"/>
      <c r="W39" s="332"/>
      <c r="X39" s="333"/>
      <c r="Y39" s="332"/>
      <c r="Z39" s="342"/>
      <c r="AA39" s="341"/>
    </row>
    <row r="40" spans="2:27" ht="17.100000000000001" customHeight="1">
      <c r="B40" s="275"/>
      <c r="C40" s="331"/>
      <c r="D40" s="331"/>
      <c r="E40" s="332"/>
      <c r="F40" s="333"/>
      <c r="G40" s="332"/>
      <c r="H40" s="332"/>
      <c r="I40" s="340"/>
      <c r="J40" s="332"/>
      <c r="K40" s="336" t="s">
        <v>205</v>
      </c>
      <c r="L40" s="336"/>
      <c r="M40" s="336"/>
      <c r="N40" s="322"/>
      <c r="O40" s="336"/>
      <c r="P40" s="336"/>
      <c r="Q40" s="334"/>
      <c r="R40" s="337"/>
      <c r="S40" s="332"/>
      <c r="T40" s="340"/>
      <c r="U40" s="332"/>
      <c r="V40" s="332"/>
      <c r="W40" s="332"/>
      <c r="X40" s="333"/>
      <c r="Y40" s="332"/>
      <c r="Z40" s="342"/>
      <c r="AA40" s="341"/>
    </row>
    <row r="41" spans="2:27" ht="17.100000000000001" customHeight="1">
      <c r="B41" s="275"/>
      <c r="C41" s="331"/>
      <c r="D41" s="331"/>
      <c r="E41" s="332"/>
      <c r="F41" s="333"/>
      <c r="G41" s="332"/>
      <c r="H41" s="332"/>
      <c r="I41" s="340"/>
      <c r="J41" s="332"/>
      <c r="K41" s="336" t="s">
        <v>206</v>
      </c>
      <c r="L41" s="336"/>
      <c r="M41" s="336"/>
      <c r="N41" s="322"/>
      <c r="O41" s="336"/>
      <c r="P41" s="336"/>
      <c r="Q41" s="334"/>
      <c r="R41" s="337"/>
      <c r="S41" s="332"/>
      <c r="T41" s="340"/>
      <c r="U41" s="332"/>
      <c r="V41" s="332"/>
      <c r="W41" s="332"/>
      <c r="X41" s="333"/>
      <c r="Y41" s="332"/>
      <c r="Z41" s="342"/>
      <c r="AA41" s="341"/>
    </row>
    <row r="42" spans="2:27" ht="17.100000000000001" customHeight="1">
      <c r="B42" s="275"/>
      <c r="C42" s="331"/>
      <c r="D42" s="331"/>
      <c r="E42" s="332"/>
      <c r="F42" s="333"/>
      <c r="G42" s="332"/>
      <c r="H42" s="332"/>
      <c r="I42" s="340"/>
      <c r="J42" s="332"/>
      <c r="L42" s="336"/>
      <c r="M42" s="336"/>
      <c r="N42" s="322"/>
      <c r="O42" s="336"/>
      <c r="P42" s="336"/>
      <c r="Q42" s="334"/>
      <c r="R42" s="337"/>
      <c r="S42" s="332"/>
      <c r="T42" s="340"/>
      <c r="U42" s="332"/>
      <c r="V42" s="332"/>
      <c r="W42" s="332"/>
      <c r="X42" s="333"/>
      <c r="Y42" s="332"/>
      <c r="Z42" s="342"/>
      <c r="AA42" s="341"/>
    </row>
    <row r="43" spans="2:27" ht="17.100000000000001" customHeight="1">
      <c r="B43" s="275"/>
      <c r="C43" s="331"/>
      <c r="D43" s="331"/>
      <c r="E43" s="332"/>
      <c r="F43" s="333"/>
      <c r="G43" s="332"/>
      <c r="H43" s="332"/>
      <c r="I43" s="340"/>
      <c r="J43" s="332"/>
      <c r="K43" s="336" t="s">
        <v>207</v>
      </c>
      <c r="L43" s="336"/>
      <c r="M43" s="334"/>
      <c r="N43" s="322"/>
      <c r="O43" s="334"/>
      <c r="P43" s="334"/>
      <c r="Q43" s="334"/>
      <c r="R43" s="337"/>
      <c r="S43" s="332"/>
      <c r="T43" s="340"/>
      <c r="U43" s="332"/>
      <c r="V43" s="332"/>
      <c r="W43" s="332"/>
      <c r="X43" s="333"/>
      <c r="Y43" s="332"/>
      <c r="Z43" s="342"/>
      <c r="AA43" s="341"/>
    </row>
    <row r="44" spans="2:27" ht="17.100000000000001" customHeight="1">
      <c r="B44" s="275"/>
      <c r="C44" s="331"/>
      <c r="D44" s="331"/>
      <c r="E44" s="332"/>
      <c r="F44" s="333"/>
      <c r="G44" s="332"/>
      <c r="H44" s="332"/>
      <c r="I44" s="340"/>
      <c r="J44" s="332"/>
      <c r="K44" s="336" t="s">
        <v>208</v>
      </c>
      <c r="L44" s="334"/>
      <c r="M44" s="334"/>
      <c r="N44" s="322"/>
      <c r="O44" s="334"/>
      <c r="P44" s="334"/>
      <c r="Q44" s="334"/>
      <c r="R44" s="337"/>
      <c r="S44" s="332"/>
      <c r="T44" s="340"/>
      <c r="U44" s="332"/>
      <c r="V44" s="332"/>
      <c r="W44" s="332"/>
      <c r="X44" s="333"/>
      <c r="Y44" s="332"/>
      <c r="Z44" s="342"/>
      <c r="AA44" s="341"/>
    </row>
    <row r="45" spans="2:27" ht="17.100000000000001" customHeight="1">
      <c r="B45" s="275"/>
      <c r="C45" s="331"/>
      <c r="D45" s="331"/>
      <c r="E45" s="332"/>
      <c r="F45" s="333"/>
      <c r="G45" s="332"/>
      <c r="H45" s="332"/>
      <c r="I45" s="340"/>
      <c r="J45" s="332"/>
      <c r="K45" s="334" t="s">
        <v>209</v>
      </c>
      <c r="L45" s="334"/>
      <c r="M45" s="334"/>
      <c r="N45" s="322"/>
      <c r="O45" s="334"/>
      <c r="P45" s="334"/>
      <c r="Q45" s="334"/>
      <c r="R45" s="337"/>
      <c r="S45" s="332"/>
      <c r="T45" s="340"/>
      <c r="U45" s="332"/>
      <c r="V45" s="332"/>
      <c r="W45" s="332"/>
      <c r="X45" s="333"/>
      <c r="Y45" s="332"/>
      <c r="Z45" s="342"/>
      <c r="AA45" s="341"/>
    </row>
    <row r="46" spans="2:27" ht="17.100000000000001" customHeight="1">
      <c r="B46" s="275"/>
      <c r="C46" s="331"/>
      <c r="D46" s="331"/>
      <c r="E46" s="332"/>
      <c r="F46" s="333"/>
      <c r="G46" s="332"/>
      <c r="H46" s="332"/>
      <c r="I46" s="340"/>
      <c r="J46" s="332"/>
      <c r="K46" s="336" t="s">
        <v>210</v>
      </c>
      <c r="L46" s="336"/>
      <c r="M46" s="336"/>
      <c r="N46" s="322"/>
      <c r="O46" s="336"/>
      <c r="P46" s="336"/>
      <c r="Q46" s="334"/>
      <c r="R46" s="337"/>
      <c r="S46" s="332"/>
      <c r="T46" s="340"/>
      <c r="U46" s="332"/>
      <c r="V46" s="332"/>
      <c r="W46" s="332"/>
      <c r="X46" s="333"/>
      <c r="Y46" s="332"/>
      <c r="Z46" s="342"/>
      <c r="AA46" s="341"/>
    </row>
    <row r="47" spans="2:27" ht="17.100000000000001" customHeight="1">
      <c r="B47" s="275"/>
      <c r="C47" s="331"/>
      <c r="D47" s="331"/>
      <c r="E47" s="332"/>
      <c r="F47" s="333"/>
      <c r="G47" s="332"/>
      <c r="H47" s="332"/>
      <c r="I47" s="340"/>
      <c r="J47" s="332"/>
      <c r="K47" s="336" t="s">
        <v>211</v>
      </c>
      <c r="L47" s="336"/>
      <c r="M47" s="334"/>
      <c r="N47" s="322"/>
      <c r="O47" s="334"/>
      <c r="P47" s="334"/>
      <c r="Q47" s="334"/>
      <c r="R47" s="337"/>
      <c r="S47" s="332"/>
      <c r="T47" s="340"/>
      <c r="U47" s="332"/>
      <c r="V47" s="332"/>
      <c r="W47" s="332"/>
      <c r="X47" s="333"/>
      <c r="Y47" s="332"/>
      <c r="Z47" s="342"/>
      <c r="AA47" s="341"/>
    </row>
    <row r="48" spans="2:27" ht="17.100000000000001" customHeight="1">
      <c r="B48" s="275"/>
      <c r="C48" s="331"/>
      <c r="D48" s="331"/>
      <c r="E48" s="332"/>
      <c r="F48" s="333"/>
      <c r="G48" s="332"/>
      <c r="H48" s="332"/>
      <c r="I48" s="340"/>
      <c r="J48" s="332"/>
      <c r="K48" s="336"/>
      <c r="L48" s="336"/>
      <c r="M48" s="334"/>
      <c r="N48" s="322"/>
      <c r="O48" s="334"/>
      <c r="P48" s="334"/>
      <c r="Q48" s="334"/>
      <c r="R48" s="337"/>
      <c r="S48" s="332"/>
      <c r="T48" s="340"/>
      <c r="U48" s="332"/>
      <c r="V48" s="332"/>
      <c r="W48" s="332"/>
      <c r="X48" s="333"/>
      <c r="Y48" s="332"/>
      <c r="Z48" s="342"/>
      <c r="AA48" s="341"/>
    </row>
    <row r="49" spans="2:27" ht="17.100000000000001" customHeight="1">
      <c r="B49" s="275"/>
      <c r="C49" s="331"/>
      <c r="D49" s="331"/>
      <c r="E49" s="332"/>
      <c r="F49" s="343"/>
      <c r="G49" s="344"/>
      <c r="H49" s="344"/>
      <c r="I49" s="345"/>
      <c r="J49" s="332"/>
      <c r="K49" s="332"/>
      <c r="L49" s="336"/>
      <c r="M49" s="336"/>
      <c r="N49" s="322"/>
      <c r="O49" s="336"/>
      <c r="P49" s="336"/>
      <c r="Q49" s="334"/>
      <c r="R49" s="346"/>
      <c r="S49" s="344"/>
      <c r="T49" s="345"/>
      <c r="U49" s="332"/>
      <c r="V49" s="332"/>
      <c r="W49" s="332"/>
      <c r="X49" s="343"/>
      <c r="Y49" s="344"/>
      <c r="Z49" s="277"/>
      <c r="AA49" s="274"/>
    </row>
    <row r="50" spans="2:27" ht="15.4" customHeight="1">
      <c r="B50" s="267"/>
      <c r="C50" s="347" t="s">
        <v>42</v>
      </c>
      <c r="D50" s="347"/>
      <c r="E50" s="348"/>
      <c r="F50" s="348"/>
      <c r="G50" s="348"/>
      <c r="H50" s="348"/>
      <c r="I50" s="348"/>
      <c r="J50" s="348"/>
      <c r="K50" s="348"/>
      <c r="L50" s="348"/>
      <c r="M50" s="268"/>
      <c r="N50" s="269"/>
      <c r="O50" s="268"/>
      <c r="P50" s="288"/>
      <c r="Q50" s="288"/>
      <c r="R50" s="288"/>
      <c r="S50" s="288"/>
      <c r="T50" s="288"/>
      <c r="U50" s="288"/>
      <c r="V50" s="288"/>
      <c r="W50" s="288"/>
      <c r="X50" s="288"/>
      <c r="Y50" s="288"/>
      <c r="Z50" s="269"/>
      <c r="AA50" s="274"/>
    </row>
    <row r="51" spans="2:27" ht="20.25" customHeight="1">
      <c r="B51" s="275"/>
      <c r="C51" s="349" t="s">
        <v>212</v>
      </c>
      <c r="D51" s="350"/>
      <c r="E51" s="351"/>
      <c r="F51" s="351"/>
      <c r="G51" s="351"/>
      <c r="H51" s="351"/>
      <c r="I51" s="351"/>
      <c r="J51" s="351"/>
      <c r="K51" s="351"/>
      <c r="M51" s="274"/>
      <c r="N51" s="277"/>
      <c r="O51" s="274"/>
      <c r="P51" s="352"/>
      <c r="X51" s="274"/>
      <c r="Y51" s="274"/>
      <c r="Z51" s="277"/>
      <c r="AA51" s="274"/>
    </row>
    <row r="52" spans="2:27" ht="12.75" customHeight="1">
      <c r="B52" s="275"/>
      <c r="C52" s="349" t="s">
        <v>213</v>
      </c>
      <c r="D52" s="350"/>
      <c r="E52" s="351"/>
      <c r="F52" s="351"/>
      <c r="G52" s="351"/>
      <c r="H52" s="351"/>
      <c r="I52" s="351"/>
      <c r="J52" s="351"/>
      <c r="K52" s="351"/>
      <c r="M52" s="274"/>
      <c r="N52" s="277"/>
      <c r="O52" s="274"/>
      <c r="P52" s="352"/>
      <c r="X52" s="274"/>
      <c r="Y52" s="274"/>
      <c r="Z52" s="277"/>
      <c r="AA52" s="274"/>
    </row>
    <row r="53" spans="2:27" ht="10.35" customHeight="1">
      <c r="B53" s="275"/>
      <c r="M53" s="274"/>
      <c r="N53" s="277"/>
      <c r="O53" s="274"/>
      <c r="P53" s="274"/>
      <c r="Q53" s="274"/>
      <c r="R53" s="274"/>
      <c r="S53" s="274"/>
      <c r="T53" s="274"/>
      <c r="U53" s="274"/>
      <c r="V53" s="274"/>
      <c r="W53" s="274"/>
      <c r="X53" s="274"/>
      <c r="Y53" s="274"/>
      <c r="Z53" s="277"/>
      <c r="AA53" s="274"/>
    </row>
    <row r="54" spans="2:27" ht="12.75" customHeight="1">
      <c r="B54" s="275"/>
      <c r="C54" s="510" t="s">
        <v>80</v>
      </c>
      <c r="D54" s="511"/>
      <c r="E54" s="511"/>
      <c r="F54" s="511"/>
      <c r="G54" s="511"/>
      <c r="H54" s="511"/>
      <c r="I54" s="511"/>
      <c r="J54" s="511"/>
      <c r="K54" s="511"/>
      <c r="L54" s="353"/>
      <c r="M54" s="274"/>
      <c r="N54" s="277"/>
      <c r="O54" s="274"/>
      <c r="P54" s="274"/>
      <c r="Q54" s="274"/>
      <c r="R54" s="274"/>
      <c r="S54" s="274"/>
      <c r="T54" s="274"/>
      <c r="U54" s="274"/>
      <c r="V54" s="274"/>
      <c r="W54" s="274"/>
      <c r="X54" s="274"/>
      <c r="Y54" s="274"/>
      <c r="Z54" s="277"/>
      <c r="AA54" s="274"/>
    </row>
    <row r="55" spans="2:27" ht="13.9" customHeight="1">
      <c r="B55" s="275"/>
      <c r="C55" s="515" t="s">
        <v>81</v>
      </c>
      <c r="D55" s="511"/>
      <c r="E55" s="511"/>
      <c r="F55" s="511"/>
      <c r="G55" s="511"/>
      <c r="H55" s="511"/>
      <c r="I55" s="511"/>
      <c r="J55" s="511"/>
      <c r="K55" s="511"/>
      <c r="L55" s="353"/>
      <c r="M55" s="274"/>
      <c r="N55" s="277"/>
      <c r="O55" s="274"/>
      <c r="P55" s="274"/>
      <c r="Q55" s="274"/>
      <c r="R55" s="274"/>
      <c r="S55" s="274"/>
      <c r="T55" s="274"/>
      <c r="U55" s="274"/>
      <c r="V55" s="274"/>
      <c r="W55" s="274"/>
      <c r="X55" s="274"/>
      <c r="Y55" s="274"/>
      <c r="Z55" s="277"/>
      <c r="AA55" s="274"/>
    </row>
    <row r="56" spans="2:27" ht="12.75" customHeight="1">
      <c r="B56" s="275"/>
      <c r="C56" s="349" t="s">
        <v>214</v>
      </c>
      <c r="D56" s="350"/>
      <c r="E56" s="350"/>
      <c r="F56" s="350"/>
      <c r="G56" s="350"/>
      <c r="H56" s="350"/>
      <c r="I56" s="350"/>
      <c r="J56" s="350"/>
      <c r="K56" s="350"/>
      <c r="L56" s="350"/>
      <c r="M56" s="274"/>
      <c r="N56" s="277"/>
      <c r="O56" s="274"/>
      <c r="P56" s="274"/>
      <c r="Q56" s="274"/>
      <c r="R56" s="274"/>
      <c r="S56" s="274"/>
      <c r="T56" s="274"/>
      <c r="U56" s="274"/>
      <c r="V56" s="274"/>
      <c r="W56" s="274"/>
      <c r="X56" s="274"/>
      <c r="Y56" s="274"/>
      <c r="Z56" s="277"/>
      <c r="AA56" s="274"/>
    </row>
    <row r="57" spans="2:27" ht="12.75" customHeight="1">
      <c r="B57" s="275"/>
      <c r="C57" s="349" t="s">
        <v>215</v>
      </c>
      <c r="D57" s="350"/>
      <c r="E57" s="350"/>
      <c r="F57" s="350"/>
      <c r="G57" s="350"/>
      <c r="H57" s="350"/>
      <c r="I57" s="350"/>
      <c r="J57" s="350"/>
      <c r="K57" s="350"/>
      <c r="L57" s="350"/>
      <c r="M57" s="274"/>
      <c r="N57" s="277"/>
      <c r="O57" s="274"/>
      <c r="P57" s="274"/>
      <c r="Q57" s="274"/>
      <c r="R57" s="274"/>
      <c r="S57" s="274"/>
      <c r="T57" s="274"/>
      <c r="U57" s="274"/>
      <c r="V57" s="274"/>
      <c r="W57" s="274"/>
      <c r="X57" s="274"/>
      <c r="Y57" s="274"/>
      <c r="Z57" s="277"/>
      <c r="AA57" s="274"/>
    </row>
    <row r="58" spans="2:27" ht="12.75" customHeight="1">
      <c r="B58" s="275"/>
      <c r="C58" s="349" t="s">
        <v>216</v>
      </c>
      <c r="D58" s="350"/>
      <c r="E58" s="350"/>
      <c r="F58" s="350"/>
      <c r="G58" s="350"/>
      <c r="H58" s="350"/>
      <c r="I58" s="350"/>
      <c r="J58" s="350"/>
      <c r="K58" s="350"/>
      <c r="L58" s="350"/>
      <c r="M58" s="274"/>
      <c r="N58" s="277"/>
      <c r="O58" s="274"/>
      <c r="P58" s="274"/>
      <c r="Q58" s="274"/>
      <c r="R58" s="274"/>
      <c r="S58" s="274"/>
      <c r="T58" s="274"/>
      <c r="U58" s="274"/>
      <c r="V58" s="274"/>
      <c r="W58" s="274"/>
      <c r="X58" s="274"/>
      <c r="Y58" s="274"/>
      <c r="Z58" s="277"/>
      <c r="AA58" s="274"/>
    </row>
    <row r="59" spans="2:27" ht="10.35" customHeight="1">
      <c r="B59" s="275"/>
      <c r="C59" s="350"/>
      <c r="D59" s="350"/>
      <c r="E59" s="350"/>
      <c r="F59" s="350"/>
      <c r="G59" s="350"/>
      <c r="H59" s="350"/>
      <c r="I59" s="350"/>
      <c r="J59" s="350"/>
      <c r="K59" s="350"/>
      <c r="L59" s="350"/>
      <c r="M59" s="274"/>
      <c r="N59" s="277"/>
      <c r="O59" s="274"/>
      <c r="P59" s="274"/>
      <c r="Q59" s="274"/>
      <c r="R59" s="274"/>
      <c r="S59" s="274"/>
      <c r="T59" s="274"/>
      <c r="U59" s="274"/>
      <c r="V59" s="274"/>
      <c r="W59" s="274"/>
      <c r="X59" s="274"/>
      <c r="Y59" s="274"/>
      <c r="Z59" s="277"/>
      <c r="AA59" s="274"/>
    </row>
    <row r="60" spans="2:27" ht="14.25" customHeight="1">
      <c r="B60" s="275"/>
      <c r="C60" s="510" t="s">
        <v>179</v>
      </c>
      <c r="D60" s="511"/>
      <c r="E60" s="511"/>
      <c r="F60" s="511"/>
      <c r="G60" s="511"/>
      <c r="H60" s="511"/>
      <c r="I60" s="511"/>
      <c r="J60" s="511"/>
      <c r="K60" s="511"/>
      <c r="L60" s="350"/>
      <c r="M60" s="274"/>
      <c r="N60" s="277"/>
      <c r="O60" s="274"/>
      <c r="P60" s="274"/>
      <c r="Q60" s="274"/>
      <c r="R60" s="274"/>
      <c r="S60" s="274"/>
      <c r="T60" s="274"/>
      <c r="U60" s="274"/>
      <c r="V60" s="274"/>
      <c r="W60" s="274"/>
      <c r="X60" s="274"/>
      <c r="Y60" s="274"/>
      <c r="Z60" s="277"/>
      <c r="AA60" s="274"/>
    </row>
    <row r="61" spans="2:27" ht="13.9" customHeight="1">
      <c r="B61" s="275"/>
      <c r="C61" s="515" t="s">
        <v>217</v>
      </c>
      <c r="D61" s="511"/>
      <c r="E61" s="511"/>
      <c r="F61" s="511"/>
      <c r="G61" s="511"/>
      <c r="H61" s="511"/>
      <c r="I61" s="511"/>
      <c r="J61" s="511"/>
      <c r="K61" s="511"/>
      <c r="L61" s="350"/>
      <c r="M61" s="274"/>
      <c r="N61" s="277"/>
      <c r="O61" s="274"/>
      <c r="P61" s="274"/>
      <c r="Q61" s="274"/>
      <c r="R61" s="274"/>
      <c r="S61" s="274"/>
      <c r="T61" s="274"/>
      <c r="U61" s="274"/>
      <c r="V61" s="274"/>
      <c r="W61" s="274"/>
      <c r="X61" s="274"/>
      <c r="Y61" s="274"/>
      <c r="Z61" s="277"/>
      <c r="AA61" s="274"/>
    </row>
    <row r="62" spans="2:27" ht="10.35" customHeight="1">
      <c r="B62" s="275"/>
      <c r="C62" s="350"/>
      <c r="D62" s="350"/>
      <c r="E62" s="350"/>
      <c r="F62" s="350"/>
      <c r="G62" s="350"/>
      <c r="H62" s="350"/>
      <c r="I62" s="350"/>
      <c r="J62" s="350"/>
      <c r="K62" s="350"/>
      <c r="L62" s="350"/>
      <c r="M62" s="274"/>
      <c r="N62" s="277"/>
      <c r="O62" s="274"/>
      <c r="P62" s="519">
        <f ca="1">TODAY()</f>
        <v>45940</v>
      </c>
      <c r="Q62" s="511"/>
      <c r="R62" s="511"/>
      <c r="S62" s="511"/>
      <c r="T62" s="511"/>
      <c r="U62" s="511"/>
      <c r="V62" s="511"/>
      <c r="W62" s="511"/>
      <c r="X62" s="511"/>
      <c r="Y62" s="511"/>
      <c r="Z62" s="277"/>
      <c r="AA62" s="274"/>
    </row>
    <row r="63" spans="2:27" ht="14.25" customHeight="1">
      <c r="B63" s="275"/>
      <c r="C63" s="513">
        <f ca="1">TODAY()</f>
        <v>45940</v>
      </c>
      <c r="D63" s="511"/>
      <c r="E63" s="511"/>
      <c r="F63" s="511"/>
      <c r="G63" s="511"/>
      <c r="H63" s="511"/>
      <c r="I63" s="511"/>
      <c r="J63" s="511"/>
      <c r="K63" s="511"/>
      <c r="L63" s="353"/>
      <c r="M63" s="274"/>
      <c r="N63" s="277"/>
      <c r="O63" s="274"/>
      <c r="P63" s="354" t="s">
        <v>86</v>
      </c>
      <c r="Q63" s="354"/>
      <c r="R63" s="354"/>
      <c r="S63" s="354"/>
      <c r="T63" s="354"/>
      <c r="U63" s="354"/>
      <c r="V63" s="354"/>
      <c r="W63" s="354"/>
      <c r="X63" s="354"/>
      <c r="Y63" s="354"/>
      <c r="Z63" s="277"/>
      <c r="AA63" s="274"/>
    </row>
    <row r="64" spans="2:27" ht="13.9" customHeight="1">
      <c r="B64" s="275"/>
      <c r="C64" s="515" t="s">
        <v>85</v>
      </c>
      <c r="D64" s="511"/>
      <c r="E64" s="511"/>
      <c r="F64" s="511"/>
      <c r="G64" s="511"/>
      <c r="H64" s="511"/>
      <c r="I64" s="511"/>
      <c r="J64" s="511"/>
      <c r="K64" s="511"/>
      <c r="L64" s="353"/>
      <c r="M64" s="274"/>
      <c r="N64" s="277"/>
      <c r="O64" s="274"/>
      <c r="P64" s="274"/>
      <c r="Q64" s="274"/>
      <c r="R64" s="274"/>
      <c r="S64" s="274"/>
      <c r="T64" s="274"/>
      <c r="U64" s="274"/>
      <c r="V64" s="274"/>
      <c r="W64" s="274"/>
      <c r="X64" s="274"/>
      <c r="Y64" s="274"/>
      <c r="Z64" s="277"/>
      <c r="AA64" s="274"/>
    </row>
    <row r="65" spans="2:27" ht="3" customHeight="1">
      <c r="B65" s="275"/>
      <c r="C65" s="274"/>
      <c r="D65" s="274"/>
      <c r="E65" s="274"/>
      <c r="F65" s="274"/>
      <c r="G65" s="274"/>
      <c r="H65" s="274"/>
      <c r="I65" s="274"/>
      <c r="J65" s="274"/>
      <c r="K65" s="274"/>
      <c r="L65" s="274"/>
      <c r="M65" s="274"/>
      <c r="N65" s="280"/>
      <c r="O65" s="274"/>
      <c r="P65" s="274"/>
      <c r="Q65" s="274"/>
      <c r="R65" s="274"/>
      <c r="S65" s="274"/>
      <c r="T65" s="274"/>
      <c r="U65" s="274"/>
      <c r="V65" s="274"/>
      <c r="W65" s="274"/>
      <c r="X65" s="274"/>
      <c r="Y65" s="274"/>
      <c r="Z65" s="277"/>
      <c r="AA65" s="274"/>
    </row>
    <row r="66" spans="2:27" ht="15.4" customHeight="1">
      <c r="B66" s="267"/>
      <c r="C66" s="355" t="s">
        <v>87</v>
      </c>
      <c r="D66" s="509" t="s">
        <v>218</v>
      </c>
      <c r="E66" s="435"/>
      <c r="F66" s="435"/>
      <c r="G66" s="435"/>
      <c r="H66" s="435"/>
      <c r="I66" s="347"/>
      <c r="J66" s="347"/>
      <c r="K66" s="518" t="s">
        <v>219</v>
      </c>
      <c r="L66" s="435"/>
      <c r="M66" s="268"/>
      <c r="N66" s="274"/>
      <c r="O66" s="268"/>
      <c r="P66" s="272"/>
      <c r="Q66" s="272"/>
      <c r="R66" s="272"/>
      <c r="S66" s="520" t="s">
        <v>220</v>
      </c>
      <c r="T66" s="435"/>
      <c r="U66" s="435"/>
      <c r="V66" s="435"/>
      <c r="W66" s="356"/>
      <c r="X66" s="356"/>
      <c r="Y66" s="356"/>
      <c r="Z66" s="273"/>
      <c r="AA66" s="290"/>
    </row>
    <row r="67" spans="2:27" ht="5.25" customHeight="1">
      <c r="B67" s="325"/>
      <c r="C67" s="357"/>
      <c r="D67" s="439"/>
      <c r="E67" s="439"/>
      <c r="F67" s="439"/>
      <c r="G67" s="439"/>
      <c r="H67" s="439"/>
      <c r="I67" s="358"/>
      <c r="J67" s="358"/>
      <c r="K67" s="439"/>
      <c r="L67" s="439"/>
      <c r="M67" s="359"/>
      <c r="N67" s="359"/>
      <c r="O67" s="359"/>
      <c r="P67" s="360"/>
      <c r="Q67" s="360"/>
      <c r="R67" s="360"/>
      <c r="S67" s="439"/>
      <c r="T67" s="439"/>
      <c r="U67" s="439"/>
      <c r="V67" s="439"/>
      <c r="W67" s="361"/>
      <c r="X67" s="361"/>
      <c r="Y67" s="361"/>
      <c r="Z67" s="362"/>
      <c r="AA67" s="290"/>
    </row>
    <row r="68" spans="2:27" ht="9" customHeight="1">
      <c r="C68" s="363" t="s">
        <v>221</v>
      </c>
      <c r="D68" s="363"/>
      <c r="E68" s="363"/>
      <c r="F68" s="363"/>
      <c r="G68" s="363"/>
      <c r="H68" s="363"/>
      <c r="I68" s="363"/>
      <c r="J68" s="363"/>
      <c r="K68" s="363"/>
      <c r="L68" s="363"/>
      <c r="M68" s="363"/>
      <c r="N68" s="363"/>
      <c r="O68" s="363"/>
      <c r="P68" s="363"/>
      <c r="Q68" s="363"/>
      <c r="R68" s="363"/>
      <c r="S68" s="363"/>
      <c r="T68" s="363"/>
      <c r="U68" s="363"/>
      <c r="V68" s="363"/>
      <c r="W68" s="363"/>
      <c r="X68" s="363"/>
      <c r="Y68" s="364" t="s">
        <v>222</v>
      </c>
      <c r="Z68" s="363"/>
      <c r="AA68" s="363"/>
    </row>
    <row r="87" spans="12:12">
      <c r="L87" s="365">
        <f>67/18</f>
        <v>3.7222222222222223</v>
      </c>
    </row>
  </sheetData>
  <mergeCells count="21">
    <mergeCell ref="C16:L16"/>
    <mergeCell ref="C1:AA1"/>
    <mergeCell ref="C9:L9"/>
    <mergeCell ref="C64:K64"/>
    <mergeCell ref="P11:Y13"/>
    <mergeCell ref="D66:H67"/>
    <mergeCell ref="C54:K54"/>
    <mergeCell ref="P5:Y8"/>
    <mergeCell ref="C63:K63"/>
    <mergeCell ref="C2:AA2"/>
    <mergeCell ref="C55:K55"/>
    <mergeCell ref="C33:D33"/>
    <mergeCell ref="P9:Y10"/>
    <mergeCell ref="K66:L67"/>
    <mergeCell ref="C60:K60"/>
    <mergeCell ref="P62:Y62"/>
    <mergeCell ref="S66:V67"/>
    <mergeCell ref="P14:Y14"/>
    <mergeCell ref="C3:L3"/>
    <mergeCell ref="C61:K61"/>
    <mergeCell ref="P25:Y25"/>
  </mergeCells>
  <printOptions horizontalCentered="1"/>
  <pageMargins left="3.937007874015748E-2" right="0" top="0.23622047244094491" bottom="0.23622047244094491" header="0.31496062992125978" footer="0.31496062992125978"/>
  <pageSetup paperSize="9" scale="83" fitToWidth="0" fitToHeight="0"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pageSetUpPr fitToPage="1"/>
  </sheetPr>
  <dimension ref="A1:E38"/>
  <sheetViews>
    <sheetView view="pageBreakPreview" topLeftCell="A7" zoomScaleNormal="100" zoomScaleSheetLayoutView="100" workbookViewId="0">
      <selection activeCell="A26" sqref="A26"/>
    </sheetView>
  </sheetViews>
  <sheetFormatPr defaultColWidth="10.5" defaultRowHeight="19.5"/>
  <cols>
    <col min="1" max="1" width="17.33203125" style="386" customWidth="1"/>
    <col min="2" max="2" width="34.5" style="386" customWidth="1"/>
    <col min="3" max="3" width="10.6640625" style="386" customWidth="1"/>
    <col min="4" max="4" width="11.83203125" style="386" customWidth="1"/>
    <col min="5" max="5" width="54.33203125" style="386" customWidth="1"/>
    <col min="6" max="6" width="20.33203125" style="387" customWidth="1"/>
    <col min="7" max="256" width="10.5" style="387" customWidth="1"/>
    <col min="257" max="257" width="17.33203125" style="387" customWidth="1"/>
    <col min="258" max="258" width="34.5" style="387" customWidth="1"/>
    <col min="259" max="259" width="15.5" style="387" customWidth="1"/>
    <col min="260" max="260" width="17.33203125" style="387" customWidth="1"/>
    <col min="261" max="261" width="48.5" style="387" customWidth="1"/>
    <col min="262" max="262" width="20.33203125" style="387" customWidth="1"/>
    <col min="263" max="512" width="10.5" style="387" customWidth="1"/>
    <col min="513" max="513" width="17.33203125" style="387" customWidth="1"/>
    <col min="514" max="514" width="34.5" style="387" customWidth="1"/>
    <col min="515" max="515" width="15.5" style="387" customWidth="1"/>
    <col min="516" max="516" width="17.33203125" style="387" customWidth="1"/>
    <col min="517" max="517" width="48.5" style="387" customWidth="1"/>
    <col min="518" max="518" width="20.33203125" style="387" customWidth="1"/>
    <col min="519" max="768" width="10.5" style="387" customWidth="1"/>
    <col min="769" max="769" width="17.33203125" style="387" customWidth="1"/>
    <col min="770" max="770" width="34.5" style="387" customWidth="1"/>
    <col min="771" max="771" width="15.5" style="387" customWidth="1"/>
    <col min="772" max="772" width="17.33203125" style="387" customWidth="1"/>
    <col min="773" max="773" width="48.5" style="387" customWidth="1"/>
    <col min="774" max="774" width="20.33203125" style="387" customWidth="1"/>
    <col min="775" max="1024" width="10.5" style="387" customWidth="1"/>
    <col min="1025" max="1025" width="17.33203125" style="387" customWidth="1"/>
    <col min="1026" max="1026" width="34.5" style="387" customWidth="1"/>
    <col min="1027" max="1027" width="15.5" style="387" customWidth="1"/>
    <col min="1028" max="1028" width="17.33203125" style="387" customWidth="1"/>
    <col min="1029" max="1029" width="48.5" style="387" customWidth="1"/>
    <col min="1030" max="1030" width="20.33203125" style="387" customWidth="1"/>
    <col min="1031" max="1280" width="10.5" style="387" customWidth="1"/>
    <col min="1281" max="1281" width="17.33203125" style="387" customWidth="1"/>
    <col min="1282" max="1282" width="34.5" style="387" customWidth="1"/>
    <col min="1283" max="1283" width="15.5" style="387" customWidth="1"/>
    <col min="1284" max="1284" width="17.33203125" style="387" customWidth="1"/>
    <col min="1285" max="1285" width="48.5" style="387" customWidth="1"/>
    <col min="1286" max="1286" width="20.33203125" style="387" customWidth="1"/>
    <col min="1287" max="1536" width="10.5" style="387" customWidth="1"/>
    <col min="1537" max="1537" width="17.33203125" style="387" customWidth="1"/>
    <col min="1538" max="1538" width="34.5" style="387" customWidth="1"/>
    <col min="1539" max="1539" width="15.5" style="387" customWidth="1"/>
    <col min="1540" max="1540" width="17.33203125" style="387" customWidth="1"/>
    <col min="1541" max="1541" width="48.5" style="387" customWidth="1"/>
    <col min="1542" max="1542" width="20.33203125" style="387" customWidth="1"/>
    <col min="1543" max="1792" width="10.5" style="387" customWidth="1"/>
    <col min="1793" max="1793" width="17.33203125" style="387" customWidth="1"/>
    <col min="1794" max="1794" width="34.5" style="387" customWidth="1"/>
    <col min="1795" max="1795" width="15.5" style="387" customWidth="1"/>
    <col min="1796" max="1796" width="17.33203125" style="387" customWidth="1"/>
    <col min="1797" max="1797" width="48.5" style="387" customWidth="1"/>
    <col min="1798" max="1798" width="20.33203125" style="387" customWidth="1"/>
    <col min="1799" max="2048" width="10.5" style="387" customWidth="1"/>
    <col min="2049" max="2049" width="17.33203125" style="387" customWidth="1"/>
    <col min="2050" max="2050" width="34.5" style="387" customWidth="1"/>
    <col min="2051" max="2051" width="15.5" style="387" customWidth="1"/>
    <col min="2052" max="2052" width="17.33203125" style="387" customWidth="1"/>
    <col min="2053" max="2053" width="48.5" style="387" customWidth="1"/>
    <col min="2054" max="2054" width="20.33203125" style="387" customWidth="1"/>
    <col min="2055" max="2304" width="10.5" style="387" customWidth="1"/>
    <col min="2305" max="2305" width="17.33203125" style="387" customWidth="1"/>
    <col min="2306" max="2306" width="34.5" style="387" customWidth="1"/>
    <col min="2307" max="2307" width="15.5" style="387" customWidth="1"/>
    <col min="2308" max="2308" width="17.33203125" style="387" customWidth="1"/>
    <col min="2309" max="2309" width="48.5" style="387" customWidth="1"/>
    <col min="2310" max="2310" width="20.33203125" style="387" customWidth="1"/>
    <col min="2311" max="2560" width="10.5" style="387" customWidth="1"/>
    <col min="2561" max="2561" width="17.33203125" style="387" customWidth="1"/>
    <col min="2562" max="2562" width="34.5" style="387" customWidth="1"/>
    <col min="2563" max="2563" width="15.5" style="387" customWidth="1"/>
    <col min="2564" max="2564" width="17.33203125" style="387" customWidth="1"/>
    <col min="2565" max="2565" width="48.5" style="387" customWidth="1"/>
    <col min="2566" max="2566" width="20.33203125" style="387" customWidth="1"/>
    <col min="2567" max="2816" width="10.5" style="387" customWidth="1"/>
    <col min="2817" max="2817" width="17.33203125" style="387" customWidth="1"/>
    <col min="2818" max="2818" width="34.5" style="387" customWidth="1"/>
    <col min="2819" max="2819" width="15.5" style="387" customWidth="1"/>
    <col min="2820" max="2820" width="17.33203125" style="387" customWidth="1"/>
    <col min="2821" max="2821" width="48.5" style="387" customWidth="1"/>
    <col min="2822" max="2822" width="20.33203125" style="387" customWidth="1"/>
    <col min="2823" max="3072" width="10.5" style="387" customWidth="1"/>
    <col min="3073" max="3073" width="17.33203125" style="387" customWidth="1"/>
    <col min="3074" max="3074" width="34.5" style="387" customWidth="1"/>
    <col min="3075" max="3075" width="15.5" style="387" customWidth="1"/>
    <col min="3076" max="3076" width="17.33203125" style="387" customWidth="1"/>
    <col min="3077" max="3077" width="48.5" style="387" customWidth="1"/>
    <col min="3078" max="3078" width="20.33203125" style="387" customWidth="1"/>
    <col min="3079" max="3328" width="10.5" style="387" customWidth="1"/>
    <col min="3329" max="3329" width="17.33203125" style="387" customWidth="1"/>
    <col min="3330" max="3330" width="34.5" style="387" customWidth="1"/>
    <col min="3331" max="3331" width="15.5" style="387" customWidth="1"/>
    <col min="3332" max="3332" width="17.33203125" style="387" customWidth="1"/>
    <col min="3333" max="3333" width="48.5" style="387" customWidth="1"/>
    <col min="3334" max="3334" width="20.33203125" style="387" customWidth="1"/>
    <col min="3335" max="3584" width="10.5" style="387" customWidth="1"/>
    <col min="3585" max="3585" width="17.33203125" style="387" customWidth="1"/>
    <col min="3586" max="3586" width="34.5" style="387" customWidth="1"/>
    <col min="3587" max="3587" width="15.5" style="387" customWidth="1"/>
    <col min="3588" max="3588" width="17.33203125" style="387" customWidth="1"/>
    <col min="3589" max="3589" width="48.5" style="387" customWidth="1"/>
    <col min="3590" max="3590" width="20.33203125" style="387" customWidth="1"/>
    <col min="3591" max="3840" width="10.5" style="387" customWidth="1"/>
    <col min="3841" max="3841" width="17.33203125" style="387" customWidth="1"/>
    <col min="3842" max="3842" width="34.5" style="387" customWidth="1"/>
    <col min="3843" max="3843" width="15.5" style="387" customWidth="1"/>
    <col min="3844" max="3844" width="17.33203125" style="387" customWidth="1"/>
    <col min="3845" max="3845" width="48.5" style="387" customWidth="1"/>
    <col min="3846" max="3846" width="20.33203125" style="387" customWidth="1"/>
    <col min="3847" max="4096" width="10.5" style="387" customWidth="1"/>
    <col min="4097" max="4097" width="17.33203125" style="387" customWidth="1"/>
    <col min="4098" max="4098" width="34.5" style="387" customWidth="1"/>
    <col min="4099" max="4099" width="15.5" style="387" customWidth="1"/>
    <col min="4100" max="4100" width="17.33203125" style="387" customWidth="1"/>
    <col min="4101" max="4101" width="48.5" style="387" customWidth="1"/>
    <col min="4102" max="4102" width="20.33203125" style="387" customWidth="1"/>
    <col min="4103" max="4352" width="10.5" style="387" customWidth="1"/>
    <col min="4353" max="4353" width="17.33203125" style="387" customWidth="1"/>
    <col min="4354" max="4354" width="34.5" style="387" customWidth="1"/>
    <col min="4355" max="4355" width="15.5" style="387" customWidth="1"/>
    <col min="4356" max="4356" width="17.33203125" style="387" customWidth="1"/>
    <col min="4357" max="4357" width="48.5" style="387" customWidth="1"/>
    <col min="4358" max="4358" width="20.33203125" style="387" customWidth="1"/>
    <col min="4359" max="4608" width="10.5" style="387" customWidth="1"/>
    <col min="4609" max="4609" width="17.33203125" style="387" customWidth="1"/>
    <col min="4610" max="4610" width="34.5" style="387" customWidth="1"/>
    <col min="4611" max="4611" width="15.5" style="387" customWidth="1"/>
    <col min="4612" max="4612" width="17.33203125" style="387" customWidth="1"/>
    <col min="4613" max="4613" width="48.5" style="387" customWidth="1"/>
    <col min="4614" max="4614" width="20.33203125" style="387" customWidth="1"/>
    <col min="4615" max="4864" width="10.5" style="387" customWidth="1"/>
    <col min="4865" max="4865" width="17.33203125" style="387" customWidth="1"/>
    <col min="4866" max="4866" width="34.5" style="387" customWidth="1"/>
    <col min="4867" max="4867" width="15.5" style="387" customWidth="1"/>
    <col min="4868" max="4868" width="17.33203125" style="387" customWidth="1"/>
    <col min="4869" max="4869" width="48.5" style="387" customWidth="1"/>
    <col min="4870" max="4870" width="20.33203125" style="387" customWidth="1"/>
    <col min="4871" max="5120" width="10.5" style="387" customWidth="1"/>
    <col min="5121" max="5121" width="17.33203125" style="387" customWidth="1"/>
    <col min="5122" max="5122" width="34.5" style="387" customWidth="1"/>
    <col min="5123" max="5123" width="15.5" style="387" customWidth="1"/>
    <col min="5124" max="5124" width="17.33203125" style="387" customWidth="1"/>
    <col min="5125" max="5125" width="48.5" style="387" customWidth="1"/>
    <col min="5126" max="5126" width="20.33203125" style="387" customWidth="1"/>
    <col min="5127" max="5376" width="10.5" style="387" customWidth="1"/>
    <col min="5377" max="5377" width="17.33203125" style="387" customWidth="1"/>
    <col min="5378" max="5378" width="34.5" style="387" customWidth="1"/>
    <col min="5379" max="5379" width="15.5" style="387" customWidth="1"/>
    <col min="5380" max="5380" width="17.33203125" style="387" customWidth="1"/>
    <col min="5381" max="5381" width="48.5" style="387" customWidth="1"/>
    <col min="5382" max="5382" width="20.33203125" style="387" customWidth="1"/>
    <col min="5383" max="5632" width="10.5" style="387" customWidth="1"/>
    <col min="5633" max="5633" width="17.33203125" style="387" customWidth="1"/>
    <col min="5634" max="5634" width="34.5" style="387" customWidth="1"/>
    <col min="5635" max="5635" width="15.5" style="387" customWidth="1"/>
    <col min="5636" max="5636" width="17.33203125" style="387" customWidth="1"/>
    <col min="5637" max="5637" width="48.5" style="387" customWidth="1"/>
    <col min="5638" max="5638" width="20.33203125" style="387" customWidth="1"/>
    <col min="5639" max="5888" width="10.5" style="387" customWidth="1"/>
    <col min="5889" max="5889" width="17.33203125" style="387" customWidth="1"/>
    <col min="5890" max="5890" width="34.5" style="387" customWidth="1"/>
    <col min="5891" max="5891" width="15.5" style="387" customWidth="1"/>
    <col min="5892" max="5892" width="17.33203125" style="387" customWidth="1"/>
    <col min="5893" max="5893" width="48.5" style="387" customWidth="1"/>
    <col min="5894" max="5894" width="20.33203125" style="387" customWidth="1"/>
    <col min="5895" max="6144" width="10.5" style="387" customWidth="1"/>
    <col min="6145" max="6145" width="17.33203125" style="387" customWidth="1"/>
    <col min="6146" max="6146" width="34.5" style="387" customWidth="1"/>
    <col min="6147" max="6147" width="15.5" style="387" customWidth="1"/>
    <col min="6148" max="6148" width="17.33203125" style="387" customWidth="1"/>
    <col min="6149" max="6149" width="48.5" style="387" customWidth="1"/>
    <col min="6150" max="6150" width="20.33203125" style="387" customWidth="1"/>
    <col min="6151" max="6400" width="10.5" style="387" customWidth="1"/>
    <col min="6401" max="6401" width="17.33203125" style="387" customWidth="1"/>
    <col min="6402" max="6402" width="34.5" style="387" customWidth="1"/>
    <col min="6403" max="6403" width="15.5" style="387" customWidth="1"/>
    <col min="6404" max="6404" width="17.33203125" style="387" customWidth="1"/>
    <col min="6405" max="6405" width="48.5" style="387" customWidth="1"/>
    <col min="6406" max="6406" width="20.33203125" style="387" customWidth="1"/>
    <col min="6407" max="6656" width="10.5" style="387" customWidth="1"/>
    <col min="6657" max="6657" width="17.33203125" style="387" customWidth="1"/>
    <col min="6658" max="6658" width="34.5" style="387" customWidth="1"/>
    <col min="6659" max="6659" width="15.5" style="387" customWidth="1"/>
    <col min="6660" max="6660" width="17.33203125" style="387" customWidth="1"/>
    <col min="6661" max="6661" width="48.5" style="387" customWidth="1"/>
    <col min="6662" max="6662" width="20.33203125" style="387" customWidth="1"/>
    <col min="6663" max="6912" width="10.5" style="387" customWidth="1"/>
    <col min="6913" max="6913" width="17.33203125" style="387" customWidth="1"/>
    <col min="6914" max="6914" width="34.5" style="387" customWidth="1"/>
    <col min="6915" max="6915" width="15.5" style="387" customWidth="1"/>
    <col min="6916" max="6916" width="17.33203125" style="387" customWidth="1"/>
    <col min="6917" max="6917" width="48.5" style="387" customWidth="1"/>
    <col min="6918" max="6918" width="20.33203125" style="387" customWidth="1"/>
    <col min="6919" max="7168" width="10.5" style="387" customWidth="1"/>
    <col min="7169" max="7169" width="17.33203125" style="387" customWidth="1"/>
    <col min="7170" max="7170" width="34.5" style="387" customWidth="1"/>
    <col min="7171" max="7171" width="15.5" style="387" customWidth="1"/>
    <col min="7172" max="7172" width="17.33203125" style="387" customWidth="1"/>
    <col min="7173" max="7173" width="48.5" style="387" customWidth="1"/>
    <col min="7174" max="7174" width="20.33203125" style="387" customWidth="1"/>
    <col min="7175" max="7424" width="10.5" style="387" customWidth="1"/>
    <col min="7425" max="7425" width="17.33203125" style="387" customWidth="1"/>
    <col min="7426" max="7426" width="34.5" style="387" customWidth="1"/>
    <col min="7427" max="7427" width="15.5" style="387" customWidth="1"/>
    <col min="7428" max="7428" width="17.33203125" style="387" customWidth="1"/>
    <col min="7429" max="7429" width="48.5" style="387" customWidth="1"/>
    <col min="7430" max="7430" width="20.33203125" style="387" customWidth="1"/>
    <col min="7431" max="7680" width="10.5" style="387" customWidth="1"/>
    <col min="7681" max="7681" width="17.33203125" style="387" customWidth="1"/>
    <col min="7682" max="7682" width="34.5" style="387" customWidth="1"/>
    <col min="7683" max="7683" width="15.5" style="387" customWidth="1"/>
    <col min="7684" max="7684" width="17.33203125" style="387" customWidth="1"/>
    <col min="7685" max="7685" width="48.5" style="387" customWidth="1"/>
    <col min="7686" max="7686" width="20.33203125" style="387" customWidth="1"/>
    <col min="7687" max="7936" width="10.5" style="387" customWidth="1"/>
    <col min="7937" max="7937" width="17.33203125" style="387" customWidth="1"/>
    <col min="7938" max="7938" width="34.5" style="387" customWidth="1"/>
    <col min="7939" max="7939" width="15.5" style="387" customWidth="1"/>
    <col min="7940" max="7940" width="17.33203125" style="387" customWidth="1"/>
    <col min="7941" max="7941" width="48.5" style="387" customWidth="1"/>
    <col min="7942" max="7942" width="20.33203125" style="387" customWidth="1"/>
    <col min="7943" max="8192" width="10.5" style="387" customWidth="1"/>
    <col min="8193" max="8193" width="17.33203125" style="387" customWidth="1"/>
    <col min="8194" max="8194" width="34.5" style="387" customWidth="1"/>
    <col min="8195" max="8195" width="15.5" style="387" customWidth="1"/>
    <col min="8196" max="8196" width="17.33203125" style="387" customWidth="1"/>
    <col min="8197" max="8197" width="48.5" style="387" customWidth="1"/>
    <col min="8198" max="8198" width="20.33203125" style="387" customWidth="1"/>
    <col min="8199" max="8448" width="10.5" style="387" customWidth="1"/>
    <col min="8449" max="8449" width="17.33203125" style="387" customWidth="1"/>
    <col min="8450" max="8450" width="34.5" style="387" customWidth="1"/>
    <col min="8451" max="8451" width="15.5" style="387" customWidth="1"/>
    <col min="8452" max="8452" width="17.33203125" style="387" customWidth="1"/>
    <col min="8453" max="8453" width="48.5" style="387" customWidth="1"/>
    <col min="8454" max="8454" width="20.33203125" style="387" customWidth="1"/>
    <col min="8455" max="8704" width="10.5" style="387" customWidth="1"/>
    <col min="8705" max="8705" width="17.33203125" style="387" customWidth="1"/>
    <col min="8706" max="8706" width="34.5" style="387" customWidth="1"/>
    <col min="8707" max="8707" width="15.5" style="387" customWidth="1"/>
    <col min="8708" max="8708" width="17.33203125" style="387" customWidth="1"/>
    <col min="8709" max="8709" width="48.5" style="387" customWidth="1"/>
    <col min="8710" max="8710" width="20.33203125" style="387" customWidth="1"/>
    <col min="8711" max="8960" width="10.5" style="387" customWidth="1"/>
    <col min="8961" max="8961" width="17.33203125" style="387" customWidth="1"/>
    <col min="8962" max="8962" width="34.5" style="387" customWidth="1"/>
    <col min="8963" max="8963" width="15.5" style="387" customWidth="1"/>
    <col min="8964" max="8964" width="17.33203125" style="387" customWidth="1"/>
    <col min="8965" max="8965" width="48.5" style="387" customWidth="1"/>
    <col min="8966" max="8966" width="20.33203125" style="387" customWidth="1"/>
    <col min="8967" max="9216" width="10.5" style="387" customWidth="1"/>
    <col min="9217" max="9217" width="17.33203125" style="387" customWidth="1"/>
    <col min="9218" max="9218" width="34.5" style="387" customWidth="1"/>
    <col min="9219" max="9219" width="15.5" style="387" customWidth="1"/>
    <col min="9220" max="9220" width="17.33203125" style="387" customWidth="1"/>
    <col min="9221" max="9221" width="48.5" style="387" customWidth="1"/>
    <col min="9222" max="9222" width="20.33203125" style="387" customWidth="1"/>
    <col min="9223" max="9472" width="10.5" style="387" customWidth="1"/>
    <col min="9473" max="9473" width="17.33203125" style="387" customWidth="1"/>
    <col min="9474" max="9474" width="34.5" style="387" customWidth="1"/>
    <col min="9475" max="9475" width="15.5" style="387" customWidth="1"/>
    <col min="9476" max="9476" width="17.33203125" style="387" customWidth="1"/>
    <col min="9477" max="9477" width="48.5" style="387" customWidth="1"/>
    <col min="9478" max="9478" width="20.33203125" style="387" customWidth="1"/>
    <col min="9479" max="9728" width="10.5" style="387" customWidth="1"/>
    <col min="9729" max="9729" width="17.33203125" style="387" customWidth="1"/>
    <col min="9730" max="9730" width="34.5" style="387" customWidth="1"/>
    <col min="9731" max="9731" width="15.5" style="387" customWidth="1"/>
    <col min="9732" max="9732" width="17.33203125" style="387" customWidth="1"/>
    <col min="9733" max="9733" width="48.5" style="387" customWidth="1"/>
    <col min="9734" max="9734" width="20.33203125" style="387" customWidth="1"/>
    <col min="9735" max="9984" width="10.5" style="387" customWidth="1"/>
    <col min="9985" max="9985" width="17.33203125" style="387" customWidth="1"/>
    <col min="9986" max="9986" width="34.5" style="387" customWidth="1"/>
    <col min="9987" max="9987" width="15.5" style="387" customWidth="1"/>
    <col min="9988" max="9988" width="17.33203125" style="387" customWidth="1"/>
    <col min="9989" max="9989" width="48.5" style="387" customWidth="1"/>
    <col min="9990" max="9990" width="20.33203125" style="387" customWidth="1"/>
    <col min="9991" max="10240" width="10.5" style="387" customWidth="1"/>
    <col min="10241" max="10241" width="17.33203125" style="387" customWidth="1"/>
    <col min="10242" max="10242" width="34.5" style="387" customWidth="1"/>
    <col min="10243" max="10243" width="15.5" style="387" customWidth="1"/>
    <col min="10244" max="10244" width="17.33203125" style="387" customWidth="1"/>
    <col min="10245" max="10245" width="48.5" style="387" customWidth="1"/>
    <col min="10246" max="10246" width="20.33203125" style="387" customWidth="1"/>
    <col min="10247" max="10496" width="10.5" style="387" customWidth="1"/>
    <col min="10497" max="10497" width="17.33203125" style="387" customWidth="1"/>
    <col min="10498" max="10498" width="34.5" style="387" customWidth="1"/>
    <col min="10499" max="10499" width="15.5" style="387" customWidth="1"/>
    <col min="10500" max="10500" width="17.33203125" style="387" customWidth="1"/>
    <col min="10501" max="10501" width="48.5" style="387" customWidth="1"/>
    <col min="10502" max="10502" width="20.33203125" style="387" customWidth="1"/>
    <col min="10503" max="10752" width="10.5" style="387" customWidth="1"/>
    <col min="10753" max="10753" width="17.33203125" style="387" customWidth="1"/>
    <col min="10754" max="10754" width="34.5" style="387" customWidth="1"/>
    <col min="10755" max="10755" width="15.5" style="387" customWidth="1"/>
    <col min="10756" max="10756" width="17.33203125" style="387" customWidth="1"/>
    <col min="10757" max="10757" width="48.5" style="387" customWidth="1"/>
    <col min="10758" max="10758" width="20.33203125" style="387" customWidth="1"/>
    <col min="10759" max="11008" width="10.5" style="387" customWidth="1"/>
    <col min="11009" max="11009" width="17.33203125" style="387" customWidth="1"/>
    <col min="11010" max="11010" width="34.5" style="387" customWidth="1"/>
    <col min="11011" max="11011" width="15.5" style="387" customWidth="1"/>
    <col min="11012" max="11012" width="17.33203125" style="387" customWidth="1"/>
    <col min="11013" max="11013" width="48.5" style="387" customWidth="1"/>
    <col min="11014" max="11014" width="20.33203125" style="387" customWidth="1"/>
    <col min="11015" max="11264" width="10.5" style="387" customWidth="1"/>
    <col min="11265" max="11265" width="17.33203125" style="387" customWidth="1"/>
    <col min="11266" max="11266" width="34.5" style="387" customWidth="1"/>
    <col min="11267" max="11267" width="15.5" style="387" customWidth="1"/>
    <col min="11268" max="11268" width="17.33203125" style="387" customWidth="1"/>
    <col min="11269" max="11269" width="48.5" style="387" customWidth="1"/>
    <col min="11270" max="11270" width="20.33203125" style="387" customWidth="1"/>
    <col min="11271" max="11520" width="10.5" style="387" customWidth="1"/>
    <col min="11521" max="11521" width="17.33203125" style="387" customWidth="1"/>
    <col min="11522" max="11522" width="34.5" style="387" customWidth="1"/>
    <col min="11523" max="11523" width="15.5" style="387" customWidth="1"/>
    <col min="11524" max="11524" width="17.33203125" style="387" customWidth="1"/>
    <col min="11525" max="11525" width="48.5" style="387" customWidth="1"/>
    <col min="11526" max="11526" width="20.33203125" style="387" customWidth="1"/>
    <col min="11527" max="11776" width="10.5" style="387" customWidth="1"/>
    <col min="11777" max="11777" width="17.33203125" style="387" customWidth="1"/>
    <col min="11778" max="11778" width="34.5" style="387" customWidth="1"/>
    <col min="11779" max="11779" width="15.5" style="387" customWidth="1"/>
    <col min="11780" max="11780" width="17.33203125" style="387" customWidth="1"/>
    <col min="11781" max="11781" width="48.5" style="387" customWidth="1"/>
    <col min="11782" max="11782" width="20.33203125" style="387" customWidth="1"/>
    <col min="11783" max="12032" width="10.5" style="387" customWidth="1"/>
    <col min="12033" max="12033" width="17.33203125" style="387" customWidth="1"/>
    <col min="12034" max="12034" width="34.5" style="387" customWidth="1"/>
    <col min="12035" max="12035" width="15.5" style="387" customWidth="1"/>
    <col min="12036" max="12036" width="17.33203125" style="387" customWidth="1"/>
    <col min="12037" max="12037" width="48.5" style="387" customWidth="1"/>
    <col min="12038" max="12038" width="20.33203125" style="387" customWidth="1"/>
    <col min="12039" max="12288" width="10.5" style="387" customWidth="1"/>
    <col min="12289" max="12289" width="17.33203125" style="387" customWidth="1"/>
    <col min="12290" max="12290" width="34.5" style="387" customWidth="1"/>
    <col min="12291" max="12291" width="15.5" style="387" customWidth="1"/>
    <col min="12292" max="12292" width="17.33203125" style="387" customWidth="1"/>
    <col min="12293" max="12293" width="48.5" style="387" customWidth="1"/>
    <col min="12294" max="12294" width="20.33203125" style="387" customWidth="1"/>
    <col min="12295" max="12544" width="10.5" style="387" customWidth="1"/>
    <col min="12545" max="12545" width="17.33203125" style="387" customWidth="1"/>
    <col min="12546" max="12546" width="34.5" style="387" customWidth="1"/>
    <col min="12547" max="12547" width="15.5" style="387" customWidth="1"/>
    <col min="12548" max="12548" width="17.33203125" style="387" customWidth="1"/>
    <col min="12549" max="12549" width="48.5" style="387" customWidth="1"/>
    <col min="12550" max="12550" width="20.33203125" style="387" customWidth="1"/>
    <col min="12551" max="12800" width="10.5" style="387" customWidth="1"/>
    <col min="12801" max="12801" width="17.33203125" style="387" customWidth="1"/>
    <col min="12802" max="12802" width="34.5" style="387" customWidth="1"/>
    <col min="12803" max="12803" width="15.5" style="387" customWidth="1"/>
    <col min="12804" max="12804" width="17.33203125" style="387" customWidth="1"/>
    <col min="12805" max="12805" width="48.5" style="387" customWidth="1"/>
    <col min="12806" max="12806" width="20.33203125" style="387" customWidth="1"/>
    <col min="12807" max="13056" width="10.5" style="387" customWidth="1"/>
    <col min="13057" max="13057" width="17.33203125" style="387" customWidth="1"/>
    <col min="13058" max="13058" width="34.5" style="387" customWidth="1"/>
    <col min="13059" max="13059" width="15.5" style="387" customWidth="1"/>
    <col min="13060" max="13060" width="17.33203125" style="387" customWidth="1"/>
    <col min="13061" max="13061" width="48.5" style="387" customWidth="1"/>
    <col min="13062" max="13062" width="20.33203125" style="387" customWidth="1"/>
    <col min="13063" max="13312" width="10.5" style="387" customWidth="1"/>
    <col min="13313" max="13313" width="17.33203125" style="387" customWidth="1"/>
    <col min="13314" max="13314" width="34.5" style="387" customWidth="1"/>
    <col min="13315" max="13315" width="15.5" style="387" customWidth="1"/>
    <col min="13316" max="13316" width="17.33203125" style="387" customWidth="1"/>
    <col min="13317" max="13317" width="48.5" style="387" customWidth="1"/>
    <col min="13318" max="13318" width="20.33203125" style="387" customWidth="1"/>
    <col min="13319" max="13568" width="10.5" style="387" customWidth="1"/>
    <col min="13569" max="13569" width="17.33203125" style="387" customWidth="1"/>
    <col min="13570" max="13570" width="34.5" style="387" customWidth="1"/>
    <col min="13571" max="13571" width="15.5" style="387" customWidth="1"/>
    <col min="13572" max="13572" width="17.33203125" style="387" customWidth="1"/>
    <col min="13573" max="13573" width="48.5" style="387" customWidth="1"/>
    <col min="13574" max="13574" width="20.33203125" style="387" customWidth="1"/>
    <col min="13575" max="13824" width="10.5" style="387" customWidth="1"/>
    <col min="13825" max="13825" width="17.33203125" style="387" customWidth="1"/>
    <col min="13826" max="13826" width="34.5" style="387" customWidth="1"/>
    <col min="13827" max="13827" width="15.5" style="387" customWidth="1"/>
    <col min="13828" max="13828" width="17.33203125" style="387" customWidth="1"/>
    <col min="13829" max="13829" width="48.5" style="387" customWidth="1"/>
    <col min="13830" max="13830" width="20.33203125" style="387" customWidth="1"/>
    <col min="13831" max="14080" width="10.5" style="387" customWidth="1"/>
    <col min="14081" max="14081" width="17.33203125" style="387" customWidth="1"/>
    <col min="14082" max="14082" width="34.5" style="387" customWidth="1"/>
    <col min="14083" max="14083" width="15.5" style="387" customWidth="1"/>
    <col min="14084" max="14084" width="17.33203125" style="387" customWidth="1"/>
    <col min="14085" max="14085" width="48.5" style="387" customWidth="1"/>
    <col min="14086" max="14086" width="20.33203125" style="387" customWidth="1"/>
    <col min="14087" max="14336" width="10.5" style="387" customWidth="1"/>
    <col min="14337" max="14337" width="17.33203125" style="387" customWidth="1"/>
    <col min="14338" max="14338" width="34.5" style="387" customWidth="1"/>
    <col min="14339" max="14339" width="15.5" style="387" customWidth="1"/>
    <col min="14340" max="14340" width="17.33203125" style="387" customWidth="1"/>
    <col min="14341" max="14341" width="48.5" style="387" customWidth="1"/>
    <col min="14342" max="14342" width="20.33203125" style="387" customWidth="1"/>
    <col min="14343" max="14592" width="10.5" style="387" customWidth="1"/>
    <col min="14593" max="14593" width="17.33203125" style="387" customWidth="1"/>
    <col min="14594" max="14594" width="34.5" style="387" customWidth="1"/>
    <col min="14595" max="14595" width="15.5" style="387" customWidth="1"/>
    <col min="14596" max="14596" width="17.33203125" style="387" customWidth="1"/>
    <col min="14597" max="14597" width="48.5" style="387" customWidth="1"/>
    <col min="14598" max="14598" width="20.33203125" style="387" customWidth="1"/>
    <col min="14599" max="14848" width="10.5" style="387" customWidth="1"/>
    <col min="14849" max="14849" width="17.33203125" style="387" customWidth="1"/>
    <col min="14850" max="14850" width="34.5" style="387" customWidth="1"/>
    <col min="14851" max="14851" width="15.5" style="387" customWidth="1"/>
    <col min="14852" max="14852" width="17.33203125" style="387" customWidth="1"/>
    <col min="14853" max="14853" width="48.5" style="387" customWidth="1"/>
    <col min="14854" max="14854" width="20.33203125" style="387" customWidth="1"/>
    <col min="14855" max="15104" width="10.5" style="387" customWidth="1"/>
    <col min="15105" max="15105" width="17.33203125" style="387" customWidth="1"/>
    <col min="15106" max="15106" width="34.5" style="387" customWidth="1"/>
    <col min="15107" max="15107" width="15.5" style="387" customWidth="1"/>
    <col min="15108" max="15108" width="17.33203125" style="387" customWidth="1"/>
    <col min="15109" max="15109" width="48.5" style="387" customWidth="1"/>
    <col min="15110" max="15110" width="20.33203125" style="387" customWidth="1"/>
    <col min="15111" max="15360" width="10.5" style="387" customWidth="1"/>
    <col min="15361" max="15361" width="17.33203125" style="387" customWidth="1"/>
    <col min="15362" max="15362" width="34.5" style="387" customWidth="1"/>
    <col min="15363" max="15363" width="15.5" style="387" customWidth="1"/>
    <col min="15364" max="15364" width="17.33203125" style="387" customWidth="1"/>
    <col min="15365" max="15365" width="48.5" style="387" customWidth="1"/>
    <col min="15366" max="15366" width="20.33203125" style="387" customWidth="1"/>
    <col min="15367" max="15616" width="10.5" style="387" customWidth="1"/>
    <col min="15617" max="15617" width="17.33203125" style="387" customWidth="1"/>
    <col min="15618" max="15618" width="34.5" style="387" customWidth="1"/>
    <col min="15619" max="15619" width="15.5" style="387" customWidth="1"/>
    <col min="15620" max="15620" width="17.33203125" style="387" customWidth="1"/>
    <col min="15621" max="15621" width="48.5" style="387" customWidth="1"/>
    <col min="15622" max="15622" width="20.33203125" style="387" customWidth="1"/>
    <col min="15623" max="15872" width="10.5" style="387" customWidth="1"/>
    <col min="15873" max="15873" width="17.33203125" style="387" customWidth="1"/>
    <col min="15874" max="15874" width="34.5" style="387" customWidth="1"/>
    <col min="15875" max="15875" width="15.5" style="387" customWidth="1"/>
    <col min="15876" max="15876" width="17.33203125" style="387" customWidth="1"/>
    <col min="15877" max="15877" width="48.5" style="387" customWidth="1"/>
    <col min="15878" max="15878" width="20.33203125" style="387" customWidth="1"/>
    <col min="15879" max="16128" width="10.5" style="387" customWidth="1"/>
    <col min="16129" max="16129" width="17.33203125" style="387" customWidth="1"/>
    <col min="16130" max="16130" width="34.5" style="387" customWidth="1"/>
    <col min="16131" max="16131" width="15.5" style="387" customWidth="1"/>
    <col min="16132" max="16132" width="17.33203125" style="387" customWidth="1"/>
    <col min="16133" max="16133" width="48.5" style="387" customWidth="1"/>
    <col min="16134" max="16134" width="20.33203125" style="387" customWidth="1"/>
    <col min="16135" max="16384" width="10.5" style="387" customWidth="1"/>
  </cols>
  <sheetData>
    <row r="1" spans="1:5" s="380" customFormat="1" ht="20.25" customHeight="1">
      <c r="A1" s="530" t="s">
        <v>223</v>
      </c>
      <c r="B1" s="529"/>
      <c r="C1" s="530" t="s">
        <v>224</v>
      </c>
      <c r="D1" s="529"/>
      <c r="E1" s="529"/>
    </row>
    <row r="2" spans="1:5" s="380" customFormat="1" ht="20.25" customHeight="1">
      <c r="A2" s="530" t="s">
        <v>225</v>
      </c>
      <c r="B2" s="529"/>
      <c r="C2" s="528" t="s">
        <v>226</v>
      </c>
      <c r="D2" s="529"/>
      <c r="E2" s="529"/>
    </row>
    <row r="3" spans="1:5" s="380" customFormat="1" ht="19.5" customHeight="1">
      <c r="A3" s="381"/>
      <c r="B3" s="381"/>
      <c r="C3" s="537"/>
      <c r="D3" s="529"/>
      <c r="E3" s="529"/>
    </row>
    <row r="4" spans="1:5" s="380" customFormat="1" ht="8.25" customHeight="1">
      <c r="A4" s="381"/>
      <c r="B4" s="381"/>
      <c r="C4" s="381"/>
      <c r="D4" s="382"/>
      <c r="E4" s="381"/>
    </row>
    <row r="5" spans="1:5" s="380" customFormat="1" ht="21" customHeight="1">
      <c r="A5" s="381"/>
      <c r="B5" s="381"/>
      <c r="C5" s="533">
        <f ca="1">TODAY()</f>
        <v>45940</v>
      </c>
      <c r="D5" s="529"/>
      <c r="E5" s="529"/>
    </row>
    <row r="6" spans="1:5" s="384" customFormat="1" ht="17.100000000000001" customHeight="1">
      <c r="A6" s="383"/>
      <c r="B6" s="383"/>
      <c r="C6" s="383"/>
      <c r="D6" s="382"/>
      <c r="E6" s="382"/>
    </row>
    <row r="7" spans="1:5" ht="21" customHeight="1">
      <c r="A7" s="385"/>
      <c r="B7" s="385"/>
    </row>
    <row r="8" spans="1:5" ht="27.75" customHeight="1">
      <c r="A8" s="538" t="s">
        <v>227</v>
      </c>
      <c r="B8" s="532"/>
      <c r="C8" s="532"/>
      <c r="D8" s="532"/>
      <c r="E8" s="532"/>
    </row>
    <row r="9" spans="1:5" ht="23.25" customHeight="1">
      <c r="A9" s="539" t="s">
        <v>228</v>
      </c>
      <c r="B9" s="532"/>
      <c r="C9" s="532"/>
      <c r="D9" s="532"/>
      <c r="E9" s="532"/>
    </row>
    <row r="10" spans="1:5" ht="16.5" customHeight="1">
      <c r="A10" s="388"/>
      <c r="B10" s="388"/>
      <c r="C10" s="388"/>
      <c r="D10" s="388"/>
      <c r="E10" s="388"/>
    </row>
    <row r="11" spans="1:5" s="390" customFormat="1" ht="24" customHeight="1">
      <c r="A11" s="526" t="s">
        <v>229</v>
      </c>
      <c r="B11" s="536"/>
      <c r="C11" s="536"/>
      <c r="D11" s="536"/>
      <c r="E11" s="536"/>
    </row>
    <row r="12" spans="1:5" s="390" customFormat="1" ht="24" customHeight="1">
      <c r="A12" s="536"/>
      <c r="B12" s="536"/>
      <c r="C12" s="536"/>
      <c r="D12" s="536"/>
      <c r="E12" s="536"/>
    </row>
    <row r="13" spans="1:5" s="390" customFormat="1" ht="9" customHeight="1">
      <c r="A13" s="389"/>
      <c r="B13" s="389"/>
      <c r="C13" s="389"/>
      <c r="D13" s="389"/>
      <c r="E13" s="389"/>
    </row>
    <row r="14" spans="1:5" s="392" customFormat="1" ht="18.75" customHeight="1">
      <c r="A14" s="391" t="s">
        <v>230</v>
      </c>
      <c r="B14" s="391"/>
      <c r="C14" s="391"/>
      <c r="D14" s="391"/>
      <c r="E14" s="389"/>
    </row>
    <row r="15" spans="1:5" s="392" customFormat="1" ht="9" customHeight="1">
      <c r="A15" s="391"/>
      <c r="B15" s="391"/>
      <c r="C15" s="391"/>
      <c r="D15" s="391"/>
      <c r="E15" s="389"/>
    </row>
    <row r="16" spans="1:5" s="392" customFormat="1" ht="19.5" customHeight="1">
      <c r="A16" s="535">
        <f ca="1">TODAY()</f>
        <v>45940</v>
      </c>
      <c r="B16" s="527"/>
      <c r="C16" s="527"/>
      <c r="D16" s="527"/>
      <c r="E16" s="527"/>
    </row>
    <row r="17" spans="1:5" s="392" customFormat="1" ht="28.5" customHeight="1">
      <c r="A17" s="391" t="s">
        <v>231</v>
      </c>
      <c r="B17" s="393"/>
      <c r="C17" s="393"/>
      <c r="D17" s="393"/>
      <c r="E17" s="393"/>
    </row>
    <row r="18" spans="1:5" s="392" customFormat="1" ht="9" customHeight="1">
      <c r="A18" s="391"/>
      <c r="B18" s="393"/>
      <c r="C18" s="393"/>
      <c r="D18" s="393"/>
      <c r="E18" s="393"/>
    </row>
    <row r="19" spans="1:5" s="396" customFormat="1" ht="18.75" customHeight="1">
      <c r="A19" s="416" t="s">
        <v>232</v>
      </c>
      <c r="B19" s="394"/>
      <c r="C19" s="395"/>
      <c r="E19" s="416" t="s">
        <v>233</v>
      </c>
    </row>
    <row r="20" spans="1:5" s="396" customFormat="1" ht="27" customHeight="1">
      <c r="A20" s="416" t="s">
        <v>234</v>
      </c>
      <c r="B20" s="394"/>
      <c r="C20" s="395"/>
      <c r="E20" s="416" t="s">
        <v>235</v>
      </c>
    </row>
    <row r="21" spans="1:5" s="396" customFormat="1" ht="9" customHeight="1">
      <c r="A21" s="395"/>
      <c r="B21" s="397"/>
      <c r="C21" s="395"/>
      <c r="D21" s="395"/>
      <c r="E21" s="398"/>
    </row>
    <row r="22" spans="1:5" s="392" customFormat="1" ht="18.75" customHeight="1">
      <c r="A22" s="526" t="s">
        <v>499</v>
      </c>
      <c r="B22" s="527"/>
      <c r="C22" s="527"/>
      <c r="D22" s="527"/>
      <c r="E22" s="527"/>
    </row>
    <row r="23" spans="1:5" s="392" customFormat="1" ht="18.75" customHeight="1">
      <c r="A23" s="527"/>
      <c r="B23" s="527"/>
      <c r="C23" s="527"/>
      <c r="D23" s="527"/>
      <c r="E23" s="527"/>
    </row>
    <row r="24" spans="1:5" s="392" customFormat="1" ht="18.75" customHeight="1">
      <c r="A24" s="527"/>
      <c r="B24" s="527"/>
      <c r="C24" s="527"/>
      <c r="D24" s="527"/>
      <c r="E24" s="527"/>
    </row>
    <row r="25" spans="1:5" s="392" customFormat="1" ht="18.75" customHeight="1">
      <c r="A25" s="527"/>
      <c r="B25" s="527"/>
      <c r="C25" s="527"/>
      <c r="D25" s="527"/>
      <c r="E25" s="527"/>
    </row>
    <row r="26" spans="1:5" s="392" customFormat="1" ht="9" customHeight="1">
      <c r="A26" s="389"/>
      <c r="B26" s="389"/>
      <c r="C26" s="389"/>
      <c r="D26" s="389"/>
      <c r="E26" s="389"/>
    </row>
    <row r="27" spans="1:5" s="392" customFormat="1" ht="24" customHeight="1">
      <c r="A27" s="526" t="str">
        <f>"   Nay công ty chúng tôi làm công văn này, Kính xin Quý phòng cấp cho công ty chúng tôi bộ C/O nói trên mà không có phần thể hiện tên ASI GLOBAL LIMITED trên C/O theo yêu cầu của khách hàng."</f>
        <v xml:space="preserve">   Nay công ty chúng tôi làm công văn này, Kính xin Quý phòng cấp cho công ty chúng tôi bộ C/O nói trên mà không có phần thể hiện tên ASI GLOBAL LIMITED trên C/O theo yêu cầu của khách hàng.</v>
      </c>
      <c r="B27" s="527"/>
      <c r="C27" s="527"/>
      <c r="D27" s="527"/>
      <c r="E27" s="527"/>
    </row>
    <row r="28" spans="1:5" s="392" customFormat="1" ht="24" customHeight="1">
      <c r="A28" s="527"/>
      <c r="B28" s="527"/>
      <c r="C28" s="527"/>
      <c r="D28" s="527"/>
      <c r="E28" s="527"/>
    </row>
    <row r="29" spans="1:5" s="392" customFormat="1" ht="9" customHeight="1">
      <c r="A29" s="389"/>
      <c r="B29" s="389"/>
      <c r="C29" s="389"/>
      <c r="D29" s="389"/>
      <c r="E29" s="389"/>
    </row>
    <row r="30" spans="1:5" s="392" customFormat="1" ht="24" customHeight="1">
      <c r="A30" s="526" t="s">
        <v>236</v>
      </c>
      <c r="B30" s="527"/>
      <c r="C30" s="527"/>
      <c r="D30" s="527"/>
      <c r="E30" s="527"/>
    </row>
    <row r="31" spans="1:5" s="392" customFormat="1" ht="24" customHeight="1">
      <c r="A31" s="527"/>
      <c r="B31" s="527"/>
      <c r="C31" s="527"/>
      <c r="D31" s="527"/>
      <c r="E31" s="527"/>
    </row>
    <row r="32" spans="1:5" s="392" customFormat="1" ht="9" customHeight="1">
      <c r="A32" s="389"/>
      <c r="B32" s="389"/>
      <c r="C32" s="389"/>
      <c r="D32" s="389"/>
      <c r="E32" s="389"/>
    </row>
    <row r="33" spans="1:5" s="392" customFormat="1" ht="24" customHeight="1">
      <c r="A33" s="399" t="s">
        <v>237</v>
      </c>
      <c r="B33" s="400"/>
      <c r="C33" s="400"/>
      <c r="D33" s="400"/>
      <c r="E33" s="400"/>
    </row>
    <row r="34" spans="1:5" s="392" customFormat="1" ht="9" customHeight="1">
      <c r="A34" s="399"/>
      <c r="B34" s="400"/>
      <c r="C34" s="400"/>
      <c r="D34" s="400"/>
      <c r="E34" s="400"/>
    </row>
    <row r="35" spans="1:5" s="392" customFormat="1" ht="24" customHeight="1">
      <c r="A35" s="399" t="s">
        <v>238</v>
      </c>
      <c r="B35" s="401"/>
      <c r="C35" s="401"/>
      <c r="D35" s="401"/>
      <c r="E35" s="401"/>
    </row>
    <row r="36" spans="1:5" ht="15" customHeight="1">
      <c r="A36" s="402"/>
      <c r="C36" s="402"/>
      <c r="D36" s="402"/>
      <c r="E36" s="402"/>
    </row>
    <row r="37" spans="1:5" ht="18.75" customHeight="1">
      <c r="A37" s="402"/>
      <c r="B37" s="403"/>
      <c r="C37" s="534" t="str">
        <f>A1&amp;A2</f>
        <v>CÔNG TY TNHH GREENTECH HEADGEAR</v>
      </c>
      <c r="D37" s="532"/>
      <c r="E37" s="532"/>
    </row>
    <row r="38" spans="1:5">
      <c r="A38" s="531" t="s">
        <v>239</v>
      </c>
      <c r="B38" s="532"/>
    </row>
  </sheetData>
  <mergeCells count="15">
    <mergeCell ref="A27:E28"/>
    <mergeCell ref="C2:E2"/>
    <mergeCell ref="C1:E1"/>
    <mergeCell ref="A38:B38"/>
    <mergeCell ref="A2:B2"/>
    <mergeCell ref="C5:E5"/>
    <mergeCell ref="C37:E37"/>
    <mergeCell ref="A16:E16"/>
    <mergeCell ref="A11:E12"/>
    <mergeCell ref="C3:E3"/>
    <mergeCell ref="A1:B1"/>
    <mergeCell ref="A8:E8"/>
    <mergeCell ref="A22:E25"/>
    <mergeCell ref="A9:E9"/>
    <mergeCell ref="A30:E31"/>
  </mergeCells>
  <printOptions horizontalCentered="1"/>
  <pageMargins left="0.98425196850393704" right="0.78740157480314998" top="0.78740157480314998" bottom="0.59055118110236204" header="0" footer="0"/>
  <pageSetup paperSize="9" scale="71"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pageSetUpPr fitToPage="1"/>
  </sheetPr>
  <dimension ref="A1:O41"/>
  <sheetViews>
    <sheetView view="pageBreakPreview" topLeftCell="A18" zoomScale="115" zoomScaleNormal="100" workbookViewId="0">
      <selection activeCell="N29" sqref="N29"/>
    </sheetView>
  </sheetViews>
  <sheetFormatPr defaultColWidth="10.5" defaultRowHeight="16.5"/>
  <cols>
    <col min="1" max="1" width="26.6640625" style="406" customWidth="1"/>
    <col min="2" max="3" width="10.6640625" style="406" customWidth="1"/>
    <col min="4" max="4" width="8" style="406" customWidth="1"/>
    <col min="5" max="5" width="21.33203125" style="406" customWidth="1"/>
    <col min="6" max="6" width="22.83203125" style="406" customWidth="1"/>
    <col min="7" max="7" width="10.6640625" style="406" customWidth="1"/>
    <col min="8" max="8" width="19.33203125" style="406" customWidth="1"/>
    <col min="9" max="9" width="10.6640625" style="406" customWidth="1"/>
    <col min="10" max="256" width="10.5" style="405" customWidth="1"/>
    <col min="257" max="257" width="25" style="405" customWidth="1"/>
    <col min="258" max="259" width="10.6640625" style="405" customWidth="1"/>
    <col min="260" max="260" width="8" style="405" customWidth="1"/>
    <col min="261" max="261" width="21.33203125" style="405" customWidth="1"/>
    <col min="262" max="262" width="22.83203125" style="405" customWidth="1"/>
    <col min="263" max="265" width="10.6640625" style="405" customWidth="1"/>
    <col min="266" max="512" width="10.5" style="405" customWidth="1"/>
    <col min="513" max="513" width="25" style="405" customWidth="1"/>
    <col min="514" max="515" width="10.6640625" style="405" customWidth="1"/>
    <col min="516" max="516" width="8" style="405" customWidth="1"/>
    <col min="517" max="517" width="21.33203125" style="405" customWidth="1"/>
    <col min="518" max="518" width="22.83203125" style="405" customWidth="1"/>
    <col min="519" max="521" width="10.6640625" style="405" customWidth="1"/>
    <col min="522" max="768" width="10.5" style="405" customWidth="1"/>
    <col min="769" max="769" width="25" style="405" customWidth="1"/>
    <col min="770" max="771" width="10.6640625" style="405" customWidth="1"/>
    <col min="772" max="772" width="8" style="405" customWidth="1"/>
    <col min="773" max="773" width="21.33203125" style="405" customWidth="1"/>
    <col min="774" max="774" width="22.83203125" style="405" customWidth="1"/>
    <col min="775" max="777" width="10.6640625" style="405" customWidth="1"/>
    <col min="778" max="1024" width="10.5" style="405" customWidth="1"/>
    <col min="1025" max="1025" width="25" style="405" customWidth="1"/>
    <col min="1026" max="1027" width="10.6640625" style="405" customWidth="1"/>
    <col min="1028" max="1028" width="8" style="405" customWidth="1"/>
    <col min="1029" max="1029" width="21.33203125" style="405" customWidth="1"/>
    <col min="1030" max="1030" width="22.83203125" style="405" customWidth="1"/>
    <col min="1031" max="1033" width="10.6640625" style="405" customWidth="1"/>
    <col min="1034" max="1280" width="10.5" style="405" customWidth="1"/>
    <col min="1281" max="1281" width="25" style="405" customWidth="1"/>
    <col min="1282" max="1283" width="10.6640625" style="405" customWidth="1"/>
    <col min="1284" max="1284" width="8" style="405" customWidth="1"/>
    <col min="1285" max="1285" width="21.33203125" style="405" customWidth="1"/>
    <col min="1286" max="1286" width="22.83203125" style="405" customWidth="1"/>
    <col min="1287" max="1289" width="10.6640625" style="405" customWidth="1"/>
    <col min="1290" max="1536" width="10.5" style="405" customWidth="1"/>
    <col min="1537" max="1537" width="25" style="405" customWidth="1"/>
    <col min="1538" max="1539" width="10.6640625" style="405" customWidth="1"/>
    <col min="1540" max="1540" width="8" style="405" customWidth="1"/>
    <col min="1541" max="1541" width="21.33203125" style="405" customWidth="1"/>
    <col min="1542" max="1542" width="22.83203125" style="405" customWidth="1"/>
    <col min="1543" max="1545" width="10.6640625" style="405" customWidth="1"/>
    <col min="1546" max="1792" width="10.5" style="405" customWidth="1"/>
    <col min="1793" max="1793" width="25" style="405" customWidth="1"/>
    <col min="1794" max="1795" width="10.6640625" style="405" customWidth="1"/>
    <col min="1796" max="1796" width="8" style="405" customWidth="1"/>
    <col min="1797" max="1797" width="21.33203125" style="405" customWidth="1"/>
    <col min="1798" max="1798" width="22.83203125" style="405" customWidth="1"/>
    <col min="1799" max="1801" width="10.6640625" style="405" customWidth="1"/>
    <col min="1802" max="2048" width="10.5" style="405" customWidth="1"/>
    <col min="2049" max="2049" width="25" style="405" customWidth="1"/>
    <col min="2050" max="2051" width="10.6640625" style="405" customWidth="1"/>
    <col min="2052" max="2052" width="8" style="405" customWidth="1"/>
    <col min="2053" max="2053" width="21.33203125" style="405" customWidth="1"/>
    <col min="2054" max="2054" width="22.83203125" style="405" customWidth="1"/>
    <col min="2055" max="2057" width="10.6640625" style="405" customWidth="1"/>
    <col min="2058" max="2304" width="10.5" style="405" customWidth="1"/>
    <col min="2305" max="2305" width="25" style="405" customWidth="1"/>
    <col min="2306" max="2307" width="10.6640625" style="405" customWidth="1"/>
    <col min="2308" max="2308" width="8" style="405" customWidth="1"/>
    <col min="2309" max="2309" width="21.33203125" style="405" customWidth="1"/>
    <col min="2310" max="2310" width="22.83203125" style="405" customWidth="1"/>
    <col min="2311" max="2313" width="10.6640625" style="405" customWidth="1"/>
    <col min="2314" max="2560" width="10.5" style="405" customWidth="1"/>
    <col min="2561" max="2561" width="25" style="405" customWidth="1"/>
    <col min="2562" max="2563" width="10.6640625" style="405" customWidth="1"/>
    <col min="2564" max="2564" width="8" style="405" customWidth="1"/>
    <col min="2565" max="2565" width="21.33203125" style="405" customWidth="1"/>
    <col min="2566" max="2566" width="22.83203125" style="405" customWidth="1"/>
    <col min="2567" max="2569" width="10.6640625" style="405" customWidth="1"/>
    <col min="2570" max="2816" width="10.5" style="405" customWidth="1"/>
    <col min="2817" max="2817" width="25" style="405" customWidth="1"/>
    <col min="2818" max="2819" width="10.6640625" style="405" customWidth="1"/>
    <col min="2820" max="2820" width="8" style="405" customWidth="1"/>
    <col min="2821" max="2821" width="21.33203125" style="405" customWidth="1"/>
    <col min="2822" max="2822" width="22.83203125" style="405" customWidth="1"/>
    <col min="2823" max="2825" width="10.6640625" style="405" customWidth="1"/>
    <col min="2826" max="3072" width="10.5" style="405" customWidth="1"/>
    <col min="3073" max="3073" width="25" style="405" customWidth="1"/>
    <col min="3074" max="3075" width="10.6640625" style="405" customWidth="1"/>
    <col min="3076" max="3076" width="8" style="405" customWidth="1"/>
    <col min="3077" max="3077" width="21.33203125" style="405" customWidth="1"/>
    <col min="3078" max="3078" width="22.83203125" style="405" customWidth="1"/>
    <col min="3079" max="3081" width="10.6640625" style="405" customWidth="1"/>
    <col min="3082" max="3328" width="10.5" style="405" customWidth="1"/>
    <col min="3329" max="3329" width="25" style="405" customWidth="1"/>
    <col min="3330" max="3331" width="10.6640625" style="405" customWidth="1"/>
    <col min="3332" max="3332" width="8" style="405" customWidth="1"/>
    <col min="3333" max="3333" width="21.33203125" style="405" customWidth="1"/>
    <col min="3334" max="3334" width="22.83203125" style="405" customWidth="1"/>
    <col min="3335" max="3337" width="10.6640625" style="405" customWidth="1"/>
    <col min="3338" max="3584" width="10.5" style="405" customWidth="1"/>
    <col min="3585" max="3585" width="25" style="405" customWidth="1"/>
    <col min="3586" max="3587" width="10.6640625" style="405" customWidth="1"/>
    <col min="3588" max="3588" width="8" style="405" customWidth="1"/>
    <col min="3589" max="3589" width="21.33203125" style="405" customWidth="1"/>
    <col min="3590" max="3590" width="22.83203125" style="405" customWidth="1"/>
    <col min="3591" max="3593" width="10.6640625" style="405" customWidth="1"/>
    <col min="3594" max="3840" width="10.5" style="405" customWidth="1"/>
    <col min="3841" max="3841" width="25" style="405" customWidth="1"/>
    <col min="3842" max="3843" width="10.6640625" style="405" customWidth="1"/>
    <col min="3844" max="3844" width="8" style="405" customWidth="1"/>
    <col min="3845" max="3845" width="21.33203125" style="405" customWidth="1"/>
    <col min="3846" max="3846" width="22.83203125" style="405" customWidth="1"/>
    <col min="3847" max="3849" width="10.6640625" style="405" customWidth="1"/>
    <col min="3850" max="4096" width="10.5" style="405" customWidth="1"/>
    <col min="4097" max="4097" width="25" style="405" customWidth="1"/>
    <col min="4098" max="4099" width="10.6640625" style="405" customWidth="1"/>
    <col min="4100" max="4100" width="8" style="405" customWidth="1"/>
    <col min="4101" max="4101" width="21.33203125" style="405" customWidth="1"/>
    <col min="4102" max="4102" width="22.83203125" style="405" customWidth="1"/>
    <col min="4103" max="4105" width="10.6640625" style="405" customWidth="1"/>
    <col min="4106" max="4352" width="10.5" style="405" customWidth="1"/>
    <col min="4353" max="4353" width="25" style="405" customWidth="1"/>
    <col min="4354" max="4355" width="10.6640625" style="405" customWidth="1"/>
    <col min="4356" max="4356" width="8" style="405" customWidth="1"/>
    <col min="4357" max="4357" width="21.33203125" style="405" customWidth="1"/>
    <col min="4358" max="4358" width="22.83203125" style="405" customWidth="1"/>
    <col min="4359" max="4361" width="10.6640625" style="405" customWidth="1"/>
    <col min="4362" max="4608" width="10.5" style="405" customWidth="1"/>
    <col min="4609" max="4609" width="25" style="405" customWidth="1"/>
    <col min="4610" max="4611" width="10.6640625" style="405" customWidth="1"/>
    <col min="4612" max="4612" width="8" style="405" customWidth="1"/>
    <col min="4613" max="4613" width="21.33203125" style="405" customWidth="1"/>
    <col min="4614" max="4614" width="22.83203125" style="405" customWidth="1"/>
    <col min="4615" max="4617" width="10.6640625" style="405" customWidth="1"/>
    <col min="4618" max="4864" width="10.5" style="405" customWidth="1"/>
    <col min="4865" max="4865" width="25" style="405" customWidth="1"/>
    <col min="4866" max="4867" width="10.6640625" style="405" customWidth="1"/>
    <col min="4868" max="4868" width="8" style="405" customWidth="1"/>
    <col min="4869" max="4869" width="21.33203125" style="405" customWidth="1"/>
    <col min="4870" max="4870" width="22.83203125" style="405" customWidth="1"/>
    <col min="4871" max="4873" width="10.6640625" style="405" customWidth="1"/>
    <col min="4874" max="5120" width="10.5" style="405" customWidth="1"/>
    <col min="5121" max="5121" width="25" style="405" customWidth="1"/>
    <col min="5122" max="5123" width="10.6640625" style="405" customWidth="1"/>
    <col min="5124" max="5124" width="8" style="405" customWidth="1"/>
    <col min="5125" max="5125" width="21.33203125" style="405" customWidth="1"/>
    <col min="5126" max="5126" width="22.83203125" style="405" customWidth="1"/>
    <col min="5127" max="5129" width="10.6640625" style="405" customWidth="1"/>
    <col min="5130" max="5376" width="10.5" style="405" customWidth="1"/>
    <col min="5377" max="5377" width="25" style="405" customWidth="1"/>
    <col min="5378" max="5379" width="10.6640625" style="405" customWidth="1"/>
    <col min="5380" max="5380" width="8" style="405" customWidth="1"/>
    <col min="5381" max="5381" width="21.33203125" style="405" customWidth="1"/>
    <col min="5382" max="5382" width="22.83203125" style="405" customWidth="1"/>
    <col min="5383" max="5385" width="10.6640625" style="405" customWidth="1"/>
    <col min="5386" max="5632" width="10.5" style="405" customWidth="1"/>
    <col min="5633" max="5633" width="25" style="405" customWidth="1"/>
    <col min="5634" max="5635" width="10.6640625" style="405" customWidth="1"/>
    <col min="5636" max="5636" width="8" style="405" customWidth="1"/>
    <col min="5637" max="5637" width="21.33203125" style="405" customWidth="1"/>
    <col min="5638" max="5638" width="22.83203125" style="405" customWidth="1"/>
    <col min="5639" max="5641" width="10.6640625" style="405" customWidth="1"/>
    <col min="5642" max="5888" width="10.5" style="405" customWidth="1"/>
    <col min="5889" max="5889" width="25" style="405" customWidth="1"/>
    <col min="5890" max="5891" width="10.6640625" style="405" customWidth="1"/>
    <col min="5892" max="5892" width="8" style="405" customWidth="1"/>
    <col min="5893" max="5893" width="21.33203125" style="405" customWidth="1"/>
    <col min="5894" max="5894" width="22.83203125" style="405" customWidth="1"/>
    <col min="5895" max="5897" width="10.6640625" style="405" customWidth="1"/>
    <col min="5898" max="6144" width="10.5" style="405" customWidth="1"/>
    <col min="6145" max="6145" width="25" style="405" customWidth="1"/>
    <col min="6146" max="6147" width="10.6640625" style="405" customWidth="1"/>
    <col min="6148" max="6148" width="8" style="405" customWidth="1"/>
    <col min="6149" max="6149" width="21.33203125" style="405" customWidth="1"/>
    <col min="6150" max="6150" width="22.83203125" style="405" customWidth="1"/>
    <col min="6151" max="6153" width="10.6640625" style="405" customWidth="1"/>
    <col min="6154" max="6400" width="10.5" style="405" customWidth="1"/>
    <col min="6401" max="6401" width="25" style="405" customWidth="1"/>
    <col min="6402" max="6403" width="10.6640625" style="405" customWidth="1"/>
    <col min="6404" max="6404" width="8" style="405" customWidth="1"/>
    <col min="6405" max="6405" width="21.33203125" style="405" customWidth="1"/>
    <col min="6406" max="6406" width="22.83203125" style="405" customWidth="1"/>
    <col min="6407" max="6409" width="10.6640625" style="405" customWidth="1"/>
    <col min="6410" max="6656" width="10.5" style="405" customWidth="1"/>
    <col min="6657" max="6657" width="25" style="405" customWidth="1"/>
    <col min="6658" max="6659" width="10.6640625" style="405" customWidth="1"/>
    <col min="6660" max="6660" width="8" style="405" customWidth="1"/>
    <col min="6661" max="6661" width="21.33203125" style="405" customWidth="1"/>
    <col min="6662" max="6662" width="22.83203125" style="405" customWidth="1"/>
    <col min="6663" max="6665" width="10.6640625" style="405" customWidth="1"/>
    <col min="6666" max="6912" width="10.5" style="405" customWidth="1"/>
    <col min="6913" max="6913" width="25" style="405" customWidth="1"/>
    <col min="6914" max="6915" width="10.6640625" style="405" customWidth="1"/>
    <col min="6916" max="6916" width="8" style="405" customWidth="1"/>
    <col min="6917" max="6917" width="21.33203125" style="405" customWidth="1"/>
    <col min="6918" max="6918" width="22.83203125" style="405" customWidth="1"/>
    <col min="6919" max="6921" width="10.6640625" style="405" customWidth="1"/>
    <col min="6922" max="7168" width="10.5" style="405" customWidth="1"/>
    <col min="7169" max="7169" width="25" style="405" customWidth="1"/>
    <col min="7170" max="7171" width="10.6640625" style="405" customWidth="1"/>
    <col min="7172" max="7172" width="8" style="405" customWidth="1"/>
    <col min="7173" max="7173" width="21.33203125" style="405" customWidth="1"/>
    <col min="7174" max="7174" width="22.83203125" style="405" customWidth="1"/>
    <col min="7175" max="7177" width="10.6640625" style="405" customWidth="1"/>
    <col min="7178" max="7424" width="10.5" style="405" customWidth="1"/>
    <col min="7425" max="7425" width="25" style="405" customWidth="1"/>
    <col min="7426" max="7427" width="10.6640625" style="405" customWidth="1"/>
    <col min="7428" max="7428" width="8" style="405" customWidth="1"/>
    <col min="7429" max="7429" width="21.33203125" style="405" customWidth="1"/>
    <col min="7430" max="7430" width="22.83203125" style="405" customWidth="1"/>
    <col min="7431" max="7433" width="10.6640625" style="405" customWidth="1"/>
    <col min="7434" max="7680" width="10.5" style="405" customWidth="1"/>
    <col min="7681" max="7681" width="25" style="405" customWidth="1"/>
    <col min="7682" max="7683" width="10.6640625" style="405" customWidth="1"/>
    <col min="7684" max="7684" width="8" style="405" customWidth="1"/>
    <col min="7685" max="7685" width="21.33203125" style="405" customWidth="1"/>
    <col min="7686" max="7686" width="22.83203125" style="405" customWidth="1"/>
    <col min="7687" max="7689" width="10.6640625" style="405" customWidth="1"/>
    <col min="7690" max="7936" width="10.5" style="405" customWidth="1"/>
    <col min="7937" max="7937" width="25" style="405" customWidth="1"/>
    <col min="7938" max="7939" width="10.6640625" style="405" customWidth="1"/>
    <col min="7940" max="7940" width="8" style="405" customWidth="1"/>
    <col min="7941" max="7941" width="21.33203125" style="405" customWidth="1"/>
    <col min="7942" max="7942" width="22.83203125" style="405" customWidth="1"/>
    <col min="7943" max="7945" width="10.6640625" style="405" customWidth="1"/>
    <col min="7946" max="8192" width="10.5" style="405" customWidth="1"/>
    <col min="8193" max="8193" width="25" style="405" customWidth="1"/>
    <col min="8194" max="8195" width="10.6640625" style="405" customWidth="1"/>
    <col min="8196" max="8196" width="8" style="405" customWidth="1"/>
    <col min="8197" max="8197" width="21.33203125" style="405" customWidth="1"/>
    <col min="8198" max="8198" width="22.83203125" style="405" customWidth="1"/>
    <col min="8199" max="8201" width="10.6640625" style="405" customWidth="1"/>
    <col min="8202" max="8448" width="10.5" style="405" customWidth="1"/>
    <col min="8449" max="8449" width="25" style="405" customWidth="1"/>
    <col min="8450" max="8451" width="10.6640625" style="405" customWidth="1"/>
    <col min="8452" max="8452" width="8" style="405" customWidth="1"/>
    <col min="8453" max="8453" width="21.33203125" style="405" customWidth="1"/>
    <col min="8454" max="8454" width="22.83203125" style="405" customWidth="1"/>
    <col min="8455" max="8457" width="10.6640625" style="405" customWidth="1"/>
    <col min="8458" max="8704" width="10.5" style="405" customWidth="1"/>
    <col min="8705" max="8705" width="25" style="405" customWidth="1"/>
    <col min="8706" max="8707" width="10.6640625" style="405" customWidth="1"/>
    <col min="8708" max="8708" width="8" style="405" customWidth="1"/>
    <col min="8709" max="8709" width="21.33203125" style="405" customWidth="1"/>
    <col min="8710" max="8710" width="22.83203125" style="405" customWidth="1"/>
    <col min="8711" max="8713" width="10.6640625" style="405" customWidth="1"/>
    <col min="8714" max="8960" width="10.5" style="405" customWidth="1"/>
    <col min="8961" max="8961" width="25" style="405" customWidth="1"/>
    <col min="8962" max="8963" width="10.6640625" style="405" customWidth="1"/>
    <col min="8964" max="8964" width="8" style="405" customWidth="1"/>
    <col min="8965" max="8965" width="21.33203125" style="405" customWidth="1"/>
    <col min="8966" max="8966" width="22.83203125" style="405" customWidth="1"/>
    <col min="8967" max="8969" width="10.6640625" style="405" customWidth="1"/>
    <col min="8970" max="9216" width="10.5" style="405" customWidth="1"/>
    <col min="9217" max="9217" width="25" style="405" customWidth="1"/>
    <col min="9218" max="9219" width="10.6640625" style="405" customWidth="1"/>
    <col min="9220" max="9220" width="8" style="405" customWidth="1"/>
    <col min="9221" max="9221" width="21.33203125" style="405" customWidth="1"/>
    <col min="9222" max="9222" width="22.83203125" style="405" customWidth="1"/>
    <col min="9223" max="9225" width="10.6640625" style="405" customWidth="1"/>
    <col min="9226" max="9472" width="10.5" style="405" customWidth="1"/>
    <col min="9473" max="9473" width="25" style="405" customWidth="1"/>
    <col min="9474" max="9475" width="10.6640625" style="405" customWidth="1"/>
    <col min="9476" max="9476" width="8" style="405" customWidth="1"/>
    <col min="9477" max="9477" width="21.33203125" style="405" customWidth="1"/>
    <col min="9478" max="9478" width="22.83203125" style="405" customWidth="1"/>
    <col min="9479" max="9481" width="10.6640625" style="405" customWidth="1"/>
    <col min="9482" max="9728" width="10.5" style="405" customWidth="1"/>
    <col min="9729" max="9729" width="25" style="405" customWidth="1"/>
    <col min="9730" max="9731" width="10.6640625" style="405" customWidth="1"/>
    <col min="9732" max="9732" width="8" style="405" customWidth="1"/>
    <col min="9733" max="9733" width="21.33203125" style="405" customWidth="1"/>
    <col min="9734" max="9734" width="22.83203125" style="405" customWidth="1"/>
    <col min="9735" max="9737" width="10.6640625" style="405" customWidth="1"/>
    <col min="9738" max="9984" width="10.5" style="405" customWidth="1"/>
    <col min="9985" max="9985" width="25" style="405" customWidth="1"/>
    <col min="9986" max="9987" width="10.6640625" style="405" customWidth="1"/>
    <col min="9988" max="9988" width="8" style="405" customWidth="1"/>
    <col min="9989" max="9989" width="21.33203125" style="405" customWidth="1"/>
    <col min="9990" max="9990" width="22.83203125" style="405" customWidth="1"/>
    <col min="9991" max="9993" width="10.6640625" style="405" customWidth="1"/>
    <col min="9994" max="10240" width="10.5" style="405" customWidth="1"/>
    <col min="10241" max="10241" width="25" style="405" customWidth="1"/>
    <col min="10242" max="10243" width="10.6640625" style="405" customWidth="1"/>
    <col min="10244" max="10244" width="8" style="405" customWidth="1"/>
    <col min="10245" max="10245" width="21.33203125" style="405" customWidth="1"/>
    <col min="10246" max="10246" width="22.83203125" style="405" customWidth="1"/>
    <col min="10247" max="10249" width="10.6640625" style="405" customWidth="1"/>
    <col min="10250" max="10496" width="10.5" style="405" customWidth="1"/>
    <col min="10497" max="10497" width="25" style="405" customWidth="1"/>
    <col min="10498" max="10499" width="10.6640625" style="405" customWidth="1"/>
    <col min="10500" max="10500" width="8" style="405" customWidth="1"/>
    <col min="10501" max="10501" width="21.33203125" style="405" customWidth="1"/>
    <col min="10502" max="10502" width="22.83203125" style="405" customWidth="1"/>
    <col min="10503" max="10505" width="10.6640625" style="405" customWidth="1"/>
    <col min="10506" max="10752" width="10.5" style="405" customWidth="1"/>
    <col min="10753" max="10753" width="25" style="405" customWidth="1"/>
    <col min="10754" max="10755" width="10.6640625" style="405" customWidth="1"/>
    <col min="10756" max="10756" width="8" style="405" customWidth="1"/>
    <col min="10757" max="10757" width="21.33203125" style="405" customWidth="1"/>
    <col min="10758" max="10758" width="22.83203125" style="405" customWidth="1"/>
    <col min="10759" max="10761" width="10.6640625" style="405" customWidth="1"/>
    <col min="10762" max="11008" width="10.5" style="405" customWidth="1"/>
    <col min="11009" max="11009" width="25" style="405" customWidth="1"/>
    <col min="11010" max="11011" width="10.6640625" style="405" customWidth="1"/>
    <col min="11012" max="11012" width="8" style="405" customWidth="1"/>
    <col min="11013" max="11013" width="21.33203125" style="405" customWidth="1"/>
    <col min="11014" max="11014" width="22.83203125" style="405" customWidth="1"/>
    <col min="11015" max="11017" width="10.6640625" style="405" customWidth="1"/>
    <col min="11018" max="11264" width="10.5" style="405" customWidth="1"/>
    <col min="11265" max="11265" width="25" style="405" customWidth="1"/>
    <col min="11266" max="11267" width="10.6640625" style="405" customWidth="1"/>
    <col min="11268" max="11268" width="8" style="405" customWidth="1"/>
    <col min="11269" max="11269" width="21.33203125" style="405" customWidth="1"/>
    <col min="11270" max="11270" width="22.83203125" style="405" customWidth="1"/>
    <col min="11271" max="11273" width="10.6640625" style="405" customWidth="1"/>
    <col min="11274" max="11520" width="10.5" style="405" customWidth="1"/>
    <col min="11521" max="11521" width="25" style="405" customWidth="1"/>
    <col min="11522" max="11523" width="10.6640625" style="405" customWidth="1"/>
    <col min="11524" max="11524" width="8" style="405" customWidth="1"/>
    <col min="11525" max="11525" width="21.33203125" style="405" customWidth="1"/>
    <col min="11526" max="11526" width="22.83203125" style="405" customWidth="1"/>
    <col min="11527" max="11529" width="10.6640625" style="405" customWidth="1"/>
    <col min="11530" max="11776" width="10.5" style="405" customWidth="1"/>
    <col min="11777" max="11777" width="25" style="405" customWidth="1"/>
    <col min="11778" max="11779" width="10.6640625" style="405" customWidth="1"/>
    <col min="11780" max="11780" width="8" style="405" customWidth="1"/>
    <col min="11781" max="11781" width="21.33203125" style="405" customWidth="1"/>
    <col min="11782" max="11782" width="22.83203125" style="405" customWidth="1"/>
    <col min="11783" max="11785" width="10.6640625" style="405" customWidth="1"/>
    <col min="11786" max="12032" width="10.5" style="405" customWidth="1"/>
    <col min="12033" max="12033" width="25" style="405" customWidth="1"/>
    <col min="12034" max="12035" width="10.6640625" style="405" customWidth="1"/>
    <col min="12036" max="12036" width="8" style="405" customWidth="1"/>
    <col min="12037" max="12037" width="21.33203125" style="405" customWidth="1"/>
    <col min="12038" max="12038" width="22.83203125" style="405" customWidth="1"/>
    <col min="12039" max="12041" width="10.6640625" style="405" customWidth="1"/>
    <col min="12042" max="12288" width="10.5" style="405" customWidth="1"/>
    <col min="12289" max="12289" width="25" style="405" customWidth="1"/>
    <col min="12290" max="12291" width="10.6640625" style="405" customWidth="1"/>
    <col min="12292" max="12292" width="8" style="405" customWidth="1"/>
    <col min="12293" max="12293" width="21.33203125" style="405" customWidth="1"/>
    <col min="12294" max="12294" width="22.83203125" style="405" customWidth="1"/>
    <col min="12295" max="12297" width="10.6640625" style="405" customWidth="1"/>
    <col min="12298" max="12544" width="10.5" style="405" customWidth="1"/>
    <col min="12545" max="12545" width="25" style="405" customWidth="1"/>
    <col min="12546" max="12547" width="10.6640625" style="405" customWidth="1"/>
    <col min="12548" max="12548" width="8" style="405" customWidth="1"/>
    <col min="12549" max="12549" width="21.33203125" style="405" customWidth="1"/>
    <col min="12550" max="12550" width="22.83203125" style="405" customWidth="1"/>
    <col min="12551" max="12553" width="10.6640625" style="405" customWidth="1"/>
    <col min="12554" max="12800" width="10.5" style="405" customWidth="1"/>
    <col min="12801" max="12801" width="25" style="405" customWidth="1"/>
    <col min="12802" max="12803" width="10.6640625" style="405" customWidth="1"/>
    <col min="12804" max="12804" width="8" style="405" customWidth="1"/>
    <col min="12805" max="12805" width="21.33203125" style="405" customWidth="1"/>
    <col min="12806" max="12806" width="22.83203125" style="405" customWidth="1"/>
    <col min="12807" max="12809" width="10.6640625" style="405" customWidth="1"/>
    <col min="12810" max="13056" width="10.5" style="405" customWidth="1"/>
    <col min="13057" max="13057" width="25" style="405" customWidth="1"/>
    <col min="13058" max="13059" width="10.6640625" style="405" customWidth="1"/>
    <col min="13060" max="13060" width="8" style="405" customWidth="1"/>
    <col min="13061" max="13061" width="21.33203125" style="405" customWidth="1"/>
    <col min="13062" max="13062" width="22.83203125" style="405" customWidth="1"/>
    <col min="13063" max="13065" width="10.6640625" style="405" customWidth="1"/>
    <col min="13066" max="13312" width="10.5" style="405" customWidth="1"/>
    <col min="13313" max="13313" width="25" style="405" customWidth="1"/>
    <col min="13314" max="13315" width="10.6640625" style="405" customWidth="1"/>
    <col min="13316" max="13316" width="8" style="405" customWidth="1"/>
    <col min="13317" max="13317" width="21.33203125" style="405" customWidth="1"/>
    <col min="13318" max="13318" width="22.83203125" style="405" customWidth="1"/>
    <col min="13319" max="13321" width="10.6640625" style="405" customWidth="1"/>
    <col min="13322" max="13568" width="10.5" style="405" customWidth="1"/>
    <col min="13569" max="13569" width="25" style="405" customWidth="1"/>
    <col min="13570" max="13571" width="10.6640625" style="405" customWidth="1"/>
    <col min="13572" max="13572" width="8" style="405" customWidth="1"/>
    <col min="13573" max="13573" width="21.33203125" style="405" customWidth="1"/>
    <col min="13574" max="13574" width="22.83203125" style="405" customWidth="1"/>
    <col min="13575" max="13577" width="10.6640625" style="405" customWidth="1"/>
    <col min="13578" max="13824" width="10.5" style="405" customWidth="1"/>
    <col min="13825" max="13825" width="25" style="405" customWidth="1"/>
    <col min="13826" max="13827" width="10.6640625" style="405" customWidth="1"/>
    <col min="13828" max="13828" width="8" style="405" customWidth="1"/>
    <col min="13829" max="13829" width="21.33203125" style="405" customWidth="1"/>
    <col min="13830" max="13830" width="22.83203125" style="405" customWidth="1"/>
    <col min="13831" max="13833" width="10.6640625" style="405" customWidth="1"/>
    <col min="13834" max="14080" width="10.5" style="405" customWidth="1"/>
    <col min="14081" max="14081" width="25" style="405" customWidth="1"/>
    <col min="14082" max="14083" width="10.6640625" style="405" customWidth="1"/>
    <col min="14084" max="14084" width="8" style="405" customWidth="1"/>
    <col min="14085" max="14085" width="21.33203125" style="405" customWidth="1"/>
    <col min="14086" max="14086" width="22.83203125" style="405" customWidth="1"/>
    <col min="14087" max="14089" width="10.6640625" style="405" customWidth="1"/>
    <col min="14090" max="14336" width="10.5" style="405" customWidth="1"/>
    <col min="14337" max="14337" width="25" style="405" customWidth="1"/>
    <col min="14338" max="14339" width="10.6640625" style="405" customWidth="1"/>
    <col min="14340" max="14340" width="8" style="405" customWidth="1"/>
    <col min="14341" max="14341" width="21.33203125" style="405" customWidth="1"/>
    <col min="14342" max="14342" width="22.83203125" style="405" customWidth="1"/>
    <col min="14343" max="14345" width="10.6640625" style="405" customWidth="1"/>
    <col min="14346" max="14592" width="10.5" style="405" customWidth="1"/>
    <col min="14593" max="14593" width="25" style="405" customWidth="1"/>
    <col min="14594" max="14595" width="10.6640625" style="405" customWidth="1"/>
    <col min="14596" max="14596" width="8" style="405" customWidth="1"/>
    <col min="14597" max="14597" width="21.33203125" style="405" customWidth="1"/>
    <col min="14598" max="14598" width="22.83203125" style="405" customWidth="1"/>
    <col min="14599" max="14601" width="10.6640625" style="405" customWidth="1"/>
    <col min="14602" max="14848" width="10.5" style="405" customWidth="1"/>
    <col min="14849" max="14849" width="25" style="405" customWidth="1"/>
    <col min="14850" max="14851" width="10.6640625" style="405" customWidth="1"/>
    <col min="14852" max="14852" width="8" style="405" customWidth="1"/>
    <col min="14853" max="14853" width="21.33203125" style="405" customWidth="1"/>
    <col min="14854" max="14854" width="22.83203125" style="405" customWidth="1"/>
    <col min="14855" max="14857" width="10.6640625" style="405" customWidth="1"/>
    <col min="14858" max="15104" width="10.5" style="405" customWidth="1"/>
    <col min="15105" max="15105" width="25" style="405" customWidth="1"/>
    <col min="15106" max="15107" width="10.6640625" style="405" customWidth="1"/>
    <col min="15108" max="15108" width="8" style="405" customWidth="1"/>
    <col min="15109" max="15109" width="21.33203125" style="405" customWidth="1"/>
    <col min="15110" max="15110" width="22.83203125" style="405" customWidth="1"/>
    <col min="15111" max="15113" width="10.6640625" style="405" customWidth="1"/>
    <col min="15114" max="15360" width="10.5" style="405" customWidth="1"/>
    <col min="15361" max="15361" width="25" style="405" customWidth="1"/>
    <col min="15362" max="15363" width="10.6640625" style="405" customWidth="1"/>
    <col min="15364" max="15364" width="8" style="405" customWidth="1"/>
    <col min="15365" max="15365" width="21.33203125" style="405" customWidth="1"/>
    <col min="15366" max="15366" width="22.83203125" style="405" customWidth="1"/>
    <col min="15367" max="15369" width="10.6640625" style="405" customWidth="1"/>
    <col min="15370" max="15616" width="10.5" style="405" customWidth="1"/>
    <col min="15617" max="15617" width="25" style="405" customWidth="1"/>
    <col min="15618" max="15619" width="10.6640625" style="405" customWidth="1"/>
    <col min="15620" max="15620" width="8" style="405" customWidth="1"/>
    <col min="15621" max="15621" width="21.33203125" style="405" customWidth="1"/>
    <col min="15622" max="15622" width="22.83203125" style="405" customWidth="1"/>
    <col min="15623" max="15625" width="10.6640625" style="405" customWidth="1"/>
    <col min="15626" max="15872" width="10.5" style="405" customWidth="1"/>
    <col min="15873" max="15873" width="25" style="405" customWidth="1"/>
    <col min="15874" max="15875" width="10.6640625" style="405" customWidth="1"/>
    <col min="15876" max="15876" width="8" style="405" customWidth="1"/>
    <col min="15877" max="15877" width="21.33203125" style="405" customWidth="1"/>
    <col min="15878" max="15878" width="22.83203125" style="405" customWidth="1"/>
    <col min="15879" max="15881" width="10.6640625" style="405" customWidth="1"/>
    <col min="15882" max="16128" width="10.5" style="405" customWidth="1"/>
    <col min="16129" max="16129" width="25" style="405" customWidth="1"/>
    <col min="16130" max="16131" width="10.6640625" style="405" customWidth="1"/>
    <col min="16132" max="16132" width="8" style="405" customWidth="1"/>
    <col min="16133" max="16133" width="21.33203125" style="405" customWidth="1"/>
    <col min="16134" max="16134" width="22.83203125" style="405" customWidth="1"/>
    <col min="16135" max="16137" width="10.6640625" style="405" customWidth="1"/>
    <col min="16138" max="16384" width="10.5" style="405" customWidth="1"/>
  </cols>
  <sheetData>
    <row r="1" spans="1:15" ht="20.25" customHeight="1">
      <c r="A1" s="540" t="s">
        <v>224</v>
      </c>
      <c r="B1" s="541"/>
      <c r="C1" s="541"/>
      <c r="D1" s="541"/>
      <c r="E1" s="541"/>
      <c r="F1" s="541"/>
      <c r="G1" s="541"/>
      <c r="H1" s="541"/>
      <c r="I1" s="404"/>
    </row>
    <row r="2" spans="1:15" ht="18.75" customHeight="1">
      <c r="A2" s="547" t="s">
        <v>240</v>
      </c>
      <c r="B2" s="541"/>
      <c r="C2" s="541"/>
      <c r="D2" s="541"/>
      <c r="E2" s="541"/>
      <c r="F2" s="541"/>
      <c r="G2" s="541"/>
      <c r="H2" s="541"/>
      <c r="I2" s="391"/>
    </row>
    <row r="3" spans="1:15" ht="20.25" customHeight="1">
      <c r="A3" s="542" t="s">
        <v>241</v>
      </c>
      <c r="B3" s="541"/>
      <c r="C3" s="541"/>
      <c r="D3" s="541"/>
      <c r="E3" s="541"/>
      <c r="F3" s="541"/>
      <c r="G3" s="541"/>
      <c r="H3" s="541"/>
    </row>
    <row r="4" spans="1:15" ht="27" customHeight="1">
      <c r="A4" s="540" t="s">
        <v>242</v>
      </c>
      <c r="B4" s="541"/>
      <c r="C4" s="541"/>
      <c r="D4" s="541"/>
      <c r="E4" s="541"/>
      <c r="F4" s="541"/>
      <c r="G4" s="541"/>
      <c r="H4" s="541"/>
      <c r="I4" s="407"/>
    </row>
    <row r="5" spans="1:15" ht="23.25" customHeight="1">
      <c r="A5" s="549" t="s">
        <v>243</v>
      </c>
      <c r="B5" s="541"/>
      <c r="C5" s="541"/>
      <c r="D5" s="541"/>
      <c r="E5" s="541"/>
      <c r="F5" s="541"/>
      <c r="G5" s="541"/>
      <c r="H5" s="541"/>
      <c r="I5" s="408"/>
    </row>
    <row r="6" spans="1:15" ht="33" customHeight="1"/>
    <row r="7" spans="1:15" ht="21.75" customHeight="1">
      <c r="A7" s="526" t="s">
        <v>244</v>
      </c>
      <c r="B7" s="541"/>
      <c r="C7" s="541"/>
      <c r="D7" s="541"/>
      <c r="E7" s="541"/>
      <c r="F7" s="541"/>
      <c r="G7" s="541"/>
      <c r="H7" s="541"/>
      <c r="I7" s="381"/>
    </row>
    <row r="8" spans="1:15" ht="21.75" customHeight="1">
      <c r="A8" s="541"/>
      <c r="B8" s="541"/>
      <c r="C8" s="541"/>
      <c r="D8" s="541"/>
      <c r="E8" s="541"/>
      <c r="F8" s="541"/>
      <c r="G8" s="541"/>
      <c r="H8" s="541"/>
      <c r="I8" s="381"/>
    </row>
    <row r="9" spans="1:15" ht="7.5" customHeight="1">
      <c r="A9" s="409"/>
      <c r="B9" s="409"/>
      <c r="C9" s="409"/>
      <c r="D9" s="409"/>
      <c r="E9" s="409"/>
      <c r="F9" s="409"/>
      <c r="G9" s="409"/>
      <c r="H9" s="409"/>
      <c r="I9" s="409"/>
    </row>
    <row r="10" spans="1:15" ht="19.5" customHeight="1">
      <c r="A10" s="543" t="s">
        <v>245</v>
      </c>
      <c r="B10" s="541"/>
      <c r="C10" s="541"/>
      <c r="D10" s="541"/>
      <c r="E10" s="541"/>
      <c r="F10" s="541"/>
      <c r="G10" s="541"/>
      <c r="H10" s="541"/>
      <c r="I10" s="411"/>
    </row>
    <row r="11" spans="1:15" ht="23.25" customHeight="1">
      <c r="A11" s="541"/>
      <c r="B11" s="541"/>
      <c r="C11" s="541"/>
      <c r="D11" s="541"/>
      <c r="E11" s="541"/>
      <c r="F11" s="541"/>
      <c r="G11" s="541"/>
      <c r="H11" s="541"/>
      <c r="I11" s="411"/>
    </row>
    <row r="12" spans="1:15" ht="7.5" customHeight="1">
      <c r="A12" s="410"/>
      <c r="B12" s="410"/>
      <c r="C12" s="410"/>
      <c r="D12" s="410"/>
      <c r="E12" s="410"/>
      <c r="F12" s="410"/>
      <c r="G12" s="410"/>
      <c r="H12" s="410"/>
      <c r="I12" s="411"/>
    </row>
    <row r="13" spans="1:15" ht="21" customHeight="1">
      <c r="A13" s="391" t="s">
        <v>246</v>
      </c>
      <c r="B13" s="409"/>
      <c r="C13" s="409"/>
      <c r="D13" s="409"/>
      <c r="E13" s="409"/>
      <c r="F13" s="409"/>
      <c r="G13" s="409"/>
      <c r="H13" s="409"/>
      <c r="I13" s="409"/>
      <c r="N13" s="550"/>
      <c r="O13" s="551"/>
    </row>
    <row r="14" spans="1:15" ht="7.5" customHeight="1">
      <c r="A14" s="409"/>
      <c r="B14" s="409"/>
      <c r="C14" s="409"/>
      <c r="D14" s="409"/>
      <c r="E14" s="409"/>
      <c r="F14" s="409"/>
      <c r="G14" s="409"/>
      <c r="H14" s="409"/>
      <c r="I14" s="409"/>
      <c r="N14" s="550"/>
      <c r="O14" s="551"/>
    </row>
    <row r="15" spans="1:15" ht="21" customHeight="1">
      <c r="A15" s="543" t="s">
        <v>247</v>
      </c>
      <c r="B15" s="541"/>
      <c r="C15" s="541"/>
      <c r="D15" s="541"/>
      <c r="E15" s="541"/>
      <c r="F15" s="541"/>
      <c r="G15" s="541"/>
      <c r="H15" s="541"/>
      <c r="I15" s="411"/>
    </row>
    <row r="16" spans="1:15" ht="21" customHeight="1">
      <c r="A16" s="541"/>
      <c r="B16" s="541"/>
      <c r="C16" s="541"/>
      <c r="D16" s="541"/>
      <c r="E16" s="541"/>
      <c r="F16" s="541"/>
      <c r="G16" s="541"/>
      <c r="H16" s="541"/>
      <c r="I16" s="411"/>
    </row>
    <row r="17" spans="1:8" s="406" customFormat="1" ht="21" customHeight="1">
      <c r="A17" s="541"/>
      <c r="B17" s="541"/>
      <c r="C17" s="541"/>
      <c r="D17" s="541"/>
      <c r="E17" s="541"/>
      <c r="F17" s="541"/>
      <c r="G17" s="541"/>
      <c r="H17" s="541"/>
    </row>
    <row r="18" spans="1:8" s="406" customFormat="1" ht="21" customHeight="1">
      <c r="A18" s="541"/>
      <c r="B18" s="541"/>
      <c r="C18" s="541"/>
      <c r="D18" s="541"/>
      <c r="E18" s="541"/>
      <c r="F18" s="541"/>
      <c r="G18" s="541"/>
      <c r="H18" s="541"/>
    </row>
    <row r="19" spans="1:8" s="406" customFormat="1" ht="21" customHeight="1">
      <c r="A19" s="541"/>
      <c r="B19" s="541"/>
      <c r="C19" s="541"/>
      <c r="D19" s="541"/>
      <c r="E19" s="541"/>
      <c r="F19" s="541"/>
      <c r="G19" s="541"/>
      <c r="H19" s="541"/>
    </row>
    <row r="20" spans="1:8" s="406" customFormat="1" ht="7.5" customHeight="1">
      <c r="A20" s="409"/>
      <c r="B20" s="409"/>
      <c r="C20" s="409"/>
      <c r="D20" s="409"/>
      <c r="E20" s="409"/>
      <c r="F20" s="409"/>
      <c r="G20" s="409"/>
      <c r="H20" s="409"/>
    </row>
    <row r="21" spans="1:8" s="406" customFormat="1" ht="21.75" customHeight="1">
      <c r="A21" s="544">
        <f ca="1">TODAY()</f>
        <v>45940</v>
      </c>
      <c r="B21" s="541"/>
      <c r="C21" s="541"/>
      <c r="D21" s="541"/>
      <c r="E21" s="541"/>
      <c r="F21" s="541"/>
      <c r="G21" s="541"/>
      <c r="H21" s="541"/>
    </row>
    <row r="22" spans="1:8" s="406" customFormat="1" ht="23.25" customHeight="1">
      <c r="A22" s="391" t="s">
        <v>248</v>
      </c>
      <c r="B22" s="411"/>
      <c r="C22" s="411"/>
      <c r="D22" s="411"/>
      <c r="E22" s="411"/>
      <c r="F22" s="411"/>
      <c r="G22" s="411"/>
      <c r="H22" s="411"/>
    </row>
    <row r="23" spans="1:8" s="406" customFormat="1" ht="7.5" customHeight="1">
      <c r="A23" s="409"/>
      <c r="B23" s="409"/>
      <c r="C23" s="409"/>
      <c r="D23" s="409"/>
      <c r="E23" s="409"/>
      <c r="F23" s="409"/>
      <c r="G23" s="409"/>
      <c r="H23" s="409"/>
    </row>
    <row r="24" spans="1:8" s="406" customFormat="1" ht="24.75" customHeight="1">
      <c r="A24" s="412" t="str">
        <f>'CONG VAN ASI '!A19</f>
        <v>• Số Invoice: [Invoice Number]</v>
      </c>
      <c r="B24" s="412"/>
      <c r="C24" s="412"/>
      <c r="D24" s="412"/>
      <c r="E24" s="413"/>
      <c r="F24" s="391" t="str">
        <f>SUBSTITUTE('CONG VAN ASI '!E19, "• Ngày:", "• Ngày Invoice:")</f>
        <v>• Ngày Invoice: [Date]</v>
      </c>
      <c r="G24" s="391"/>
      <c r="H24" s="391"/>
    </row>
    <row r="25" spans="1:8" s="406" customFormat="1" ht="24.75" customHeight="1">
      <c r="A25" s="546" t="s">
        <v>249</v>
      </c>
      <c r="B25" s="541"/>
      <c r="C25" s="541"/>
      <c r="D25" s="541"/>
      <c r="E25" s="541"/>
      <c r="F25" s="552">
        <v>45665</v>
      </c>
      <c r="G25" s="541"/>
      <c r="H25" s="541"/>
    </row>
    <row r="26" spans="1:8" s="406" customFormat="1" ht="24.75" customHeight="1">
      <c r="A26" s="414" t="str">
        <f>PROPER(SUBSTITUTE('CONG VAN ASI '!E20,"• Nước nhập: ","• Nước Nhập Khẩu: "))</f>
        <v>• Nước Nhập Khẩu: [Dest]</v>
      </c>
      <c r="B26" s="414"/>
      <c r="C26" s="414"/>
      <c r="D26" s="414"/>
      <c r="E26" s="413"/>
      <c r="F26" s="409" t="s">
        <v>250</v>
      </c>
      <c r="G26" s="409"/>
      <c r="H26" s="409"/>
    </row>
    <row r="27" spans="1:8" s="406" customFormat="1" ht="7.5" customHeight="1">
      <c r="A27" s="409"/>
      <c r="B27" s="409"/>
      <c r="C27" s="409"/>
      <c r="D27" s="409"/>
      <c r="E27" s="409"/>
      <c r="F27" s="409"/>
      <c r="G27" s="409"/>
      <c r="H27" s="409"/>
    </row>
    <row r="28" spans="1:8" s="406" customFormat="1" ht="24" customHeight="1">
      <c r="A28" s="543" t="s">
        <v>251</v>
      </c>
      <c r="B28" s="541"/>
      <c r="C28" s="541"/>
      <c r="D28" s="541"/>
      <c r="E28" s="541"/>
      <c r="F28" s="541"/>
      <c r="G28" s="541"/>
      <c r="H28" s="541"/>
    </row>
    <row r="29" spans="1:8" s="406" customFormat="1" ht="24" customHeight="1">
      <c r="A29" s="541"/>
      <c r="B29" s="541"/>
      <c r="C29" s="541"/>
      <c r="D29" s="541"/>
      <c r="E29" s="541"/>
      <c r="F29" s="541"/>
      <c r="G29" s="541"/>
      <c r="H29" s="541"/>
    </row>
    <row r="30" spans="1:8" s="406" customFormat="1" ht="24" customHeight="1">
      <c r="A30" s="541"/>
      <c r="B30" s="541"/>
      <c r="C30" s="541"/>
      <c r="D30" s="541"/>
      <c r="E30" s="541"/>
      <c r="F30" s="541"/>
      <c r="G30" s="541"/>
      <c r="H30" s="541"/>
    </row>
    <row r="31" spans="1:8" s="406" customFormat="1" ht="7.5" customHeight="1">
      <c r="A31" s="410"/>
      <c r="B31" s="410"/>
      <c r="C31" s="410"/>
      <c r="D31" s="410"/>
      <c r="E31" s="410"/>
      <c r="F31" s="410"/>
      <c r="G31" s="410"/>
      <c r="H31" s="410"/>
    </row>
    <row r="32" spans="1:8" s="406" customFormat="1" ht="22.5" customHeight="1">
      <c r="A32" s="543" t="s">
        <v>252</v>
      </c>
      <c r="B32" s="541"/>
      <c r="C32" s="541"/>
      <c r="D32" s="541"/>
      <c r="E32" s="541"/>
      <c r="F32" s="541"/>
      <c r="G32" s="541"/>
      <c r="H32" s="541"/>
    </row>
    <row r="33" spans="1:8" s="406" customFormat="1" ht="22.5" customHeight="1">
      <c r="A33" s="541"/>
      <c r="B33" s="541"/>
      <c r="C33" s="541"/>
      <c r="D33" s="541"/>
      <c r="E33" s="541"/>
      <c r="F33" s="541"/>
      <c r="G33" s="541"/>
      <c r="H33" s="541"/>
    </row>
    <row r="34" spans="1:8" s="406" customFormat="1" ht="7.5" customHeight="1">
      <c r="A34" s="410"/>
      <c r="B34" s="410"/>
      <c r="C34" s="410"/>
      <c r="D34" s="410"/>
      <c r="E34" s="410"/>
      <c r="F34" s="410"/>
      <c r="G34" s="410"/>
      <c r="H34" s="410"/>
    </row>
    <row r="35" spans="1:8" s="406" customFormat="1" ht="21.75" customHeight="1">
      <c r="A35" s="543" t="s">
        <v>253</v>
      </c>
      <c r="B35" s="541"/>
      <c r="C35" s="541"/>
      <c r="D35" s="541"/>
      <c r="E35" s="541"/>
      <c r="F35" s="541"/>
      <c r="G35" s="541"/>
      <c r="H35" s="541"/>
    </row>
    <row r="36" spans="1:8" s="406" customFormat="1" ht="21.75" customHeight="1">
      <c r="A36" s="541"/>
      <c r="B36" s="541"/>
      <c r="C36" s="541"/>
      <c r="D36" s="541"/>
      <c r="E36" s="541"/>
      <c r="F36" s="541"/>
      <c r="G36" s="541"/>
      <c r="H36" s="541"/>
    </row>
    <row r="37" spans="1:8" s="406" customFormat="1" ht="8.25" customHeight="1">
      <c r="A37" s="410"/>
      <c r="B37" s="410"/>
      <c r="C37" s="410"/>
      <c r="D37" s="410"/>
      <c r="E37" s="410"/>
      <c r="F37" s="410"/>
      <c r="G37" s="410"/>
      <c r="H37" s="410"/>
    </row>
    <row r="38" spans="1:8" s="406" customFormat="1" ht="21" customHeight="1">
      <c r="A38" s="415" t="s">
        <v>238</v>
      </c>
      <c r="B38" s="409"/>
      <c r="C38" s="409"/>
      <c r="D38" s="409"/>
      <c r="E38" s="409"/>
      <c r="F38" s="409"/>
      <c r="G38" s="409"/>
      <c r="H38" s="409"/>
    </row>
    <row r="39" spans="1:8" s="406" customFormat="1" ht="21" customHeight="1">
      <c r="A39" s="415"/>
      <c r="B39" s="409"/>
      <c r="C39" s="409"/>
      <c r="D39" s="409"/>
      <c r="E39" s="409"/>
      <c r="F39" s="409"/>
      <c r="G39" s="409"/>
      <c r="H39" s="409"/>
    </row>
    <row r="40" spans="1:8" s="406" customFormat="1" ht="18.75" customHeight="1">
      <c r="E40" s="545" t="s">
        <v>254</v>
      </c>
      <c r="F40" s="541"/>
      <c r="G40" s="541"/>
      <c r="H40" s="541"/>
    </row>
    <row r="41" spans="1:8" s="406" customFormat="1" ht="22.5" customHeight="1">
      <c r="E41" s="548">
        <f ca="1">TODAY()</f>
        <v>45940</v>
      </c>
      <c r="F41" s="541"/>
      <c r="G41" s="541"/>
      <c r="H41" s="541"/>
    </row>
  </sheetData>
  <mergeCells count="18">
    <mergeCell ref="E41:H41"/>
    <mergeCell ref="A10:H11"/>
    <mergeCell ref="A5:H5"/>
    <mergeCell ref="A35:H36"/>
    <mergeCell ref="N13:O13"/>
    <mergeCell ref="A32:H33"/>
    <mergeCell ref="N14:O14"/>
    <mergeCell ref="F25:H25"/>
    <mergeCell ref="E40:H40"/>
    <mergeCell ref="A28:H30"/>
    <mergeCell ref="A7:H8"/>
    <mergeCell ref="A25:E25"/>
    <mergeCell ref="A2:H2"/>
    <mergeCell ref="A1:H1"/>
    <mergeCell ref="A4:H4"/>
    <mergeCell ref="A3:H3"/>
    <mergeCell ref="A15:H19"/>
    <mergeCell ref="A21:H21"/>
  </mergeCells>
  <printOptions horizontalCentered="1"/>
  <pageMargins left="0.98425196850393704" right="0.78740157480314965" top="0.78740157480314965" bottom="0.59055118110236227" header="0.31496062992125978" footer="0.31496062992125978"/>
  <pageSetup paperSize="9" scale="71"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filterMode="1"/>
  <dimension ref="A7:Q53"/>
  <sheetViews>
    <sheetView showGridLines="0" zoomScale="130" zoomScaleNormal="130" workbookViewId="0">
      <selection activeCell="M43" sqref="M43"/>
    </sheetView>
  </sheetViews>
  <sheetFormatPr defaultColWidth="9.33203125" defaultRowHeight="12"/>
  <cols>
    <col min="1" max="1" width="20.1640625" style="76" customWidth="1"/>
    <col min="2" max="2" width="24.1640625" style="76" customWidth="1"/>
    <col min="3" max="4" width="20.6640625" style="76" customWidth="1"/>
    <col min="5" max="5" width="24.1640625" style="76" customWidth="1"/>
    <col min="6" max="6" width="16.83203125" style="76" customWidth="1"/>
    <col min="7" max="7" width="37.33203125" style="76" customWidth="1"/>
    <col min="8" max="8" width="25.1640625" style="76" customWidth="1"/>
    <col min="9" max="9" width="9.33203125" style="76" customWidth="1"/>
    <col min="10" max="10" width="23.83203125" style="76" customWidth="1"/>
    <col min="11" max="11" width="21.6640625" style="76" customWidth="1"/>
    <col min="12" max="12" width="16" style="76" customWidth="1"/>
    <col min="13" max="13" width="59" style="76" customWidth="1"/>
    <col min="14" max="14" width="18.33203125" style="76" customWidth="1"/>
    <col min="15" max="15" width="23.5" style="76" customWidth="1"/>
    <col min="16" max="16" width="20.83203125" style="76" customWidth="1"/>
    <col min="17" max="17" width="26.33203125" style="76" customWidth="1"/>
    <col min="18" max="55" width="9.33203125" style="76" customWidth="1"/>
    <col min="56" max="16384" width="9.33203125" style="76"/>
  </cols>
  <sheetData>
    <row r="7" spans="1:17" ht="15" customHeight="1">
      <c r="A7" s="77" t="s">
        <v>255</v>
      </c>
      <c r="B7" s="77" t="s">
        <v>256</v>
      </c>
      <c r="C7" s="374" t="s">
        <v>257</v>
      </c>
      <c r="D7" s="77" t="s">
        <v>258</v>
      </c>
      <c r="E7" s="77" t="s">
        <v>259</v>
      </c>
      <c r="F7" s="77" t="s">
        <v>260</v>
      </c>
      <c r="G7" s="77" t="s">
        <v>261</v>
      </c>
      <c r="H7" s="77" t="s">
        <v>262</v>
      </c>
      <c r="I7" s="77" t="s">
        <v>263</v>
      </c>
      <c r="J7" s="77" t="s">
        <v>264</v>
      </c>
      <c r="K7" s="77" t="s">
        <v>265</v>
      </c>
      <c r="L7" s="77" t="s">
        <v>266</v>
      </c>
      <c r="M7" s="77" t="s">
        <v>267</v>
      </c>
      <c r="N7" s="77" t="s">
        <v>268</v>
      </c>
      <c r="O7" s="77" t="s">
        <v>269</v>
      </c>
      <c r="P7" s="77" t="s">
        <v>270</v>
      </c>
      <c r="Q7" s="77" t="s">
        <v>497</v>
      </c>
    </row>
    <row r="8" spans="1:17" ht="12.75" hidden="1" customHeight="1">
      <c r="A8" t="s">
        <v>271</v>
      </c>
      <c r="B8" t="s">
        <v>272</v>
      </c>
      <c r="C8" t="s">
        <v>273</v>
      </c>
      <c r="D8" t="s">
        <v>274</v>
      </c>
      <c r="E8" t="s">
        <v>275</v>
      </c>
      <c r="F8" t="s">
        <v>276</v>
      </c>
      <c r="G8" t="s">
        <v>277</v>
      </c>
      <c r="H8" t="s">
        <v>278</v>
      </c>
      <c r="I8" t="s">
        <v>279</v>
      </c>
      <c r="J8" t="s">
        <v>280</v>
      </c>
      <c r="K8" t="s">
        <v>281</v>
      </c>
      <c r="L8" t="s">
        <v>282</v>
      </c>
      <c r="M8" t="s">
        <v>283</v>
      </c>
      <c r="N8" t="s">
        <v>284</v>
      </c>
      <c r="O8" t="s">
        <v>285</v>
      </c>
      <c r="P8"/>
    </row>
    <row r="9" spans="1:17" ht="12.75" hidden="1" customHeight="1">
      <c r="A9" t="s">
        <v>286</v>
      </c>
      <c r="B9" t="s">
        <v>272</v>
      </c>
      <c r="C9" t="s">
        <v>287</v>
      </c>
      <c r="D9" t="s">
        <v>288</v>
      </c>
      <c r="E9" t="s">
        <v>289</v>
      </c>
      <c r="F9" t="s">
        <v>290</v>
      </c>
      <c r="G9" t="s">
        <v>291</v>
      </c>
      <c r="H9" t="s">
        <v>292</v>
      </c>
      <c r="I9" t="s">
        <v>293</v>
      </c>
      <c r="J9" t="s">
        <v>294</v>
      </c>
      <c r="K9" t="s">
        <v>281</v>
      </c>
      <c r="L9" t="s">
        <v>295</v>
      </c>
      <c r="M9" t="s">
        <v>296</v>
      </c>
      <c r="N9" t="s">
        <v>284</v>
      </c>
      <c r="O9" t="s">
        <v>297</v>
      </c>
      <c r="P9"/>
    </row>
    <row r="10" spans="1:17" ht="12.75" hidden="1" customHeight="1">
      <c r="A10" t="s">
        <v>298</v>
      </c>
      <c r="B10" t="s">
        <v>272</v>
      </c>
      <c r="C10" t="s">
        <v>299</v>
      </c>
      <c r="D10" t="s">
        <v>300</v>
      </c>
      <c r="E10" t="s">
        <v>289</v>
      </c>
      <c r="F10" t="s">
        <v>301</v>
      </c>
      <c r="G10" t="s">
        <v>291</v>
      </c>
      <c r="H10" t="s">
        <v>302</v>
      </c>
      <c r="I10" t="s">
        <v>293</v>
      </c>
      <c r="J10" t="s">
        <v>303</v>
      </c>
      <c r="K10" t="s">
        <v>304</v>
      </c>
      <c r="L10" t="s">
        <v>305</v>
      </c>
      <c r="M10" t="s">
        <v>306</v>
      </c>
      <c r="N10" t="s">
        <v>284</v>
      </c>
      <c r="O10" t="s">
        <v>307</v>
      </c>
      <c r="P10"/>
    </row>
    <row r="11" spans="1:17" ht="12.75" hidden="1" customHeight="1">
      <c r="A11" t="s">
        <v>308</v>
      </c>
      <c r="B11" t="s">
        <v>272</v>
      </c>
      <c r="C11" t="s">
        <v>309</v>
      </c>
      <c r="D11" t="s">
        <v>310</v>
      </c>
      <c r="E11" t="s">
        <v>289</v>
      </c>
      <c r="F11" t="s">
        <v>311</v>
      </c>
      <c r="G11" t="s">
        <v>312</v>
      </c>
      <c r="H11" t="s">
        <v>313</v>
      </c>
      <c r="I11" t="s">
        <v>293</v>
      </c>
      <c r="J11" t="s">
        <v>314</v>
      </c>
      <c r="K11" t="s">
        <v>304</v>
      </c>
      <c r="L11" t="s">
        <v>315</v>
      </c>
      <c r="M11" t="s">
        <v>316</v>
      </c>
      <c r="N11" t="s">
        <v>284</v>
      </c>
      <c r="O11" t="s">
        <v>317</v>
      </c>
      <c r="P11"/>
    </row>
    <row r="12" spans="1:17" ht="12.75" hidden="1" customHeight="1">
      <c r="A12" t="s">
        <v>318</v>
      </c>
      <c r="B12" t="s">
        <v>272</v>
      </c>
      <c r="C12" t="s">
        <v>319</v>
      </c>
      <c r="D12" t="s">
        <v>320</v>
      </c>
      <c r="E12" t="s">
        <v>289</v>
      </c>
      <c r="F12" t="s">
        <v>311</v>
      </c>
      <c r="G12" t="s">
        <v>312</v>
      </c>
      <c r="H12" t="s">
        <v>321</v>
      </c>
      <c r="I12" t="s">
        <v>293</v>
      </c>
      <c r="J12" t="s">
        <v>322</v>
      </c>
      <c r="K12" t="s">
        <v>323</v>
      </c>
      <c r="L12" t="s">
        <v>324</v>
      </c>
      <c r="M12" t="s">
        <v>325</v>
      </c>
      <c r="N12" t="s">
        <v>284</v>
      </c>
      <c r="O12" t="s">
        <v>297</v>
      </c>
      <c r="P12"/>
    </row>
    <row r="13" spans="1:17" ht="12.75" hidden="1" customHeight="1">
      <c r="A13" t="s">
        <v>326</v>
      </c>
      <c r="B13" t="s">
        <v>272</v>
      </c>
      <c r="C13" t="s">
        <v>327</v>
      </c>
      <c r="D13" t="s">
        <v>328</v>
      </c>
      <c r="E13" t="s">
        <v>289</v>
      </c>
      <c r="F13" t="s">
        <v>311</v>
      </c>
      <c r="G13" t="s">
        <v>312</v>
      </c>
      <c r="H13" t="s">
        <v>329</v>
      </c>
      <c r="I13" t="s">
        <v>293</v>
      </c>
      <c r="J13" t="s">
        <v>330</v>
      </c>
      <c r="K13" t="s">
        <v>331</v>
      </c>
      <c r="L13" t="s">
        <v>332</v>
      </c>
      <c r="M13" t="s">
        <v>333</v>
      </c>
      <c r="N13" t="s">
        <v>284</v>
      </c>
      <c r="O13" t="s">
        <v>317</v>
      </c>
      <c r="P13"/>
    </row>
    <row r="14" spans="1:17" ht="12.75" hidden="1" customHeight="1">
      <c r="A14" t="s">
        <v>334</v>
      </c>
      <c r="B14" t="s">
        <v>272</v>
      </c>
      <c r="C14" t="s">
        <v>335</v>
      </c>
      <c r="D14" t="s">
        <v>336</v>
      </c>
      <c r="E14" t="s">
        <v>289</v>
      </c>
      <c r="F14" t="s">
        <v>311</v>
      </c>
      <c r="G14" t="s">
        <v>312</v>
      </c>
      <c r="H14" t="s">
        <v>337</v>
      </c>
      <c r="I14" t="s">
        <v>293</v>
      </c>
      <c r="J14" t="s">
        <v>338</v>
      </c>
      <c r="K14" t="s">
        <v>339</v>
      </c>
      <c r="L14" t="s">
        <v>340</v>
      </c>
      <c r="M14" t="s">
        <v>341</v>
      </c>
      <c r="N14" t="s">
        <v>284</v>
      </c>
      <c r="O14" t="s">
        <v>317</v>
      </c>
      <c r="P14"/>
    </row>
    <row r="15" spans="1:17" ht="12.75" hidden="1" customHeight="1">
      <c r="A15" t="s">
        <v>342</v>
      </c>
      <c r="B15" t="s">
        <v>272</v>
      </c>
      <c r="C15" t="s">
        <v>343</v>
      </c>
      <c r="D15" t="s">
        <v>344</v>
      </c>
      <c r="E15" t="s">
        <v>345</v>
      </c>
      <c r="F15" t="s">
        <v>346</v>
      </c>
      <c r="G15" t="s">
        <v>312</v>
      </c>
      <c r="H15" t="s">
        <v>347</v>
      </c>
      <c r="I15" t="s">
        <v>293</v>
      </c>
      <c r="J15" t="s">
        <v>348</v>
      </c>
      <c r="K15" t="s">
        <v>304</v>
      </c>
      <c r="L15" t="s">
        <v>349</v>
      </c>
      <c r="M15" t="s">
        <v>350</v>
      </c>
      <c r="N15" t="s">
        <v>284</v>
      </c>
      <c r="O15" t="s">
        <v>351</v>
      </c>
      <c r="P15"/>
    </row>
    <row r="16" spans="1:17" ht="12.75" hidden="1" customHeight="1">
      <c r="A16" t="s">
        <v>352</v>
      </c>
      <c r="B16" t="s">
        <v>272</v>
      </c>
      <c r="C16" t="s">
        <v>353</v>
      </c>
      <c r="D16" t="s">
        <v>354</v>
      </c>
      <c r="E16" t="s">
        <v>289</v>
      </c>
      <c r="F16" t="s">
        <v>311</v>
      </c>
      <c r="G16" t="s">
        <v>312</v>
      </c>
      <c r="H16" t="s">
        <v>347</v>
      </c>
      <c r="I16" t="s">
        <v>293</v>
      </c>
      <c r="J16" t="s">
        <v>355</v>
      </c>
      <c r="K16" t="s">
        <v>304</v>
      </c>
      <c r="L16" t="s">
        <v>356</v>
      </c>
      <c r="M16" t="s">
        <v>350</v>
      </c>
      <c r="N16" t="s">
        <v>284</v>
      </c>
      <c r="O16" t="s">
        <v>351</v>
      </c>
      <c r="P16"/>
    </row>
    <row r="17" spans="1:17" ht="12.75" hidden="1" customHeight="1">
      <c r="A17" t="s">
        <v>357</v>
      </c>
      <c r="B17" t="s">
        <v>272</v>
      </c>
      <c r="C17" t="s">
        <v>353</v>
      </c>
      <c r="D17" t="s">
        <v>354</v>
      </c>
      <c r="E17" t="s">
        <v>358</v>
      </c>
      <c r="F17" t="s">
        <v>359</v>
      </c>
      <c r="G17" t="s">
        <v>312</v>
      </c>
      <c r="H17" t="s">
        <v>347</v>
      </c>
      <c r="I17" t="s">
        <v>293</v>
      </c>
      <c r="J17" t="s">
        <v>360</v>
      </c>
      <c r="K17" t="s">
        <v>304</v>
      </c>
      <c r="L17" t="s">
        <v>349</v>
      </c>
      <c r="M17" t="s">
        <v>350</v>
      </c>
      <c r="N17" t="s">
        <v>284</v>
      </c>
      <c r="O17" t="s">
        <v>351</v>
      </c>
      <c r="P17"/>
    </row>
    <row r="18" spans="1:17" ht="12.75" hidden="1" customHeight="1">
      <c r="A18" t="s">
        <v>361</v>
      </c>
      <c r="B18" t="s">
        <v>272</v>
      </c>
      <c r="C18" t="s">
        <v>362</v>
      </c>
      <c r="D18" t="s">
        <v>362</v>
      </c>
      <c r="E18" t="s">
        <v>289</v>
      </c>
      <c r="F18" t="s">
        <v>363</v>
      </c>
      <c r="G18" t="s">
        <v>364</v>
      </c>
      <c r="H18"/>
      <c r="I18" t="s">
        <v>365</v>
      </c>
      <c r="J18" t="s">
        <v>366</v>
      </c>
      <c r="K18" t="s">
        <v>367</v>
      </c>
      <c r="L18" t="s">
        <v>282</v>
      </c>
      <c r="M18" t="s">
        <v>368</v>
      </c>
      <c r="N18" t="s">
        <v>369</v>
      </c>
      <c r="O18" t="s">
        <v>370</v>
      </c>
      <c r="P18"/>
    </row>
    <row r="19" spans="1:17" ht="12.75" hidden="1" customHeight="1">
      <c r="A19" t="s">
        <v>371</v>
      </c>
      <c r="B19" t="s">
        <v>272</v>
      </c>
      <c r="C19" t="s">
        <v>319</v>
      </c>
      <c r="D19" t="s">
        <v>320</v>
      </c>
      <c r="E19" t="s">
        <v>358</v>
      </c>
      <c r="F19" t="s">
        <v>359</v>
      </c>
      <c r="G19" t="s">
        <v>312</v>
      </c>
      <c r="H19" t="s">
        <v>321</v>
      </c>
      <c r="I19" t="s">
        <v>293</v>
      </c>
      <c r="J19" t="s">
        <v>372</v>
      </c>
      <c r="K19" t="s">
        <v>373</v>
      </c>
      <c r="L19" t="s">
        <v>374</v>
      </c>
      <c r="M19" t="s">
        <v>325</v>
      </c>
      <c r="N19" t="s">
        <v>284</v>
      </c>
      <c r="O19" t="s">
        <v>297</v>
      </c>
      <c r="P19"/>
    </row>
    <row r="20" spans="1:17" ht="12.75" customHeight="1">
      <c r="A20" s="555" t="s">
        <v>375</v>
      </c>
      <c r="B20" t="s">
        <v>272</v>
      </c>
      <c r="C20" t="s">
        <v>376</v>
      </c>
      <c r="D20" t="s">
        <v>376</v>
      </c>
      <c r="E20" t="s">
        <v>289</v>
      </c>
      <c r="F20" t="s">
        <v>377</v>
      </c>
      <c r="G20" t="s">
        <v>378</v>
      </c>
      <c r="H20"/>
      <c r="I20" t="s">
        <v>379</v>
      </c>
      <c r="J20" t="s">
        <v>380</v>
      </c>
      <c r="K20" t="s">
        <v>281</v>
      </c>
      <c r="L20" t="s">
        <v>381</v>
      </c>
      <c r="M20" t="s">
        <v>382</v>
      </c>
      <c r="N20" t="s">
        <v>284</v>
      </c>
      <c r="O20" t="s">
        <v>383</v>
      </c>
      <c r="P20" s="2" t="s">
        <v>493</v>
      </c>
      <c r="Q20" s="76" t="s">
        <v>498</v>
      </c>
    </row>
    <row r="21" spans="1:17" ht="12.75" hidden="1" customHeight="1">
      <c r="A21" t="s">
        <v>384</v>
      </c>
      <c r="B21" t="s">
        <v>272</v>
      </c>
      <c r="C21" t="s">
        <v>273</v>
      </c>
      <c r="D21" t="s">
        <v>274</v>
      </c>
      <c r="E21" t="s">
        <v>358</v>
      </c>
      <c r="F21" t="s">
        <v>385</v>
      </c>
      <c r="G21" t="s">
        <v>277</v>
      </c>
      <c r="H21"/>
      <c r="I21" t="s">
        <v>279</v>
      </c>
      <c r="J21" t="s">
        <v>386</v>
      </c>
      <c r="K21" t="s">
        <v>281</v>
      </c>
      <c r="L21" t="s">
        <v>387</v>
      </c>
      <c r="M21" t="s">
        <v>388</v>
      </c>
      <c r="N21" t="s">
        <v>369</v>
      </c>
      <c r="O21" t="s">
        <v>389</v>
      </c>
      <c r="P21"/>
    </row>
    <row r="22" spans="1:17" ht="12.75" hidden="1" customHeight="1">
      <c r="A22" t="s">
        <v>390</v>
      </c>
      <c r="B22" t="s">
        <v>272</v>
      </c>
      <c r="C22" t="s">
        <v>391</v>
      </c>
      <c r="D22" t="s">
        <v>392</v>
      </c>
      <c r="E22" t="s">
        <v>289</v>
      </c>
      <c r="F22" t="s">
        <v>393</v>
      </c>
      <c r="G22" t="s">
        <v>394</v>
      </c>
      <c r="H22" t="s">
        <v>395</v>
      </c>
      <c r="I22" t="s">
        <v>293</v>
      </c>
      <c r="J22" t="s">
        <v>396</v>
      </c>
      <c r="K22" t="s">
        <v>281</v>
      </c>
      <c r="L22" t="s">
        <v>397</v>
      </c>
      <c r="M22" t="s">
        <v>398</v>
      </c>
      <c r="N22" t="s">
        <v>284</v>
      </c>
      <c r="O22" t="s">
        <v>389</v>
      </c>
      <c r="P22"/>
    </row>
    <row r="23" spans="1:17" ht="12.75" customHeight="1">
      <c r="A23" t="s">
        <v>399</v>
      </c>
      <c r="B23" t="s">
        <v>272</v>
      </c>
      <c r="C23" t="s">
        <v>400</v>
      </c>
      <c r="D23" t="s">
        <v>400</v>
      </c>
      <c r="E23" t="s">
        <v>289</v>
      </c>
      <c r="F23" t="s">
        <v>401</v>
      </c>
      <c r="G23" t="s">
        <v>291</v>
      </c>
      <c r="H23" t="s">
        <v>402</v>
      </c>
      <c r="I23" t="s">
        <v>379</v>
      </c>
      <c r="J23" t="s">
        <v>403</v>
      </c>
      <c r="K23" t="s">
        <v>404</v>
      </c>
      <c r="L23" t="s">
        <v>405</v>
      </c>
      <c r="M23" t="s">
        <v>406</v>
      </c>
      <c r="N23" t="s">
        <v>284</v>
      </c>
      <c r="O23" t="s">
        <v>383</v>
      </c>
      <c r="P23" s="2" t="s">
        <v>493</v>
      </c>
      <c r="Q23" s="76" t="s">
        <v>498</v>
      </c>
    </row>
    <row r="24" spans="1:17" ht="12.75" customHeight="1">
      <c r="A24" t="s">
        <v>407</v>
      </c>
      <c r="B24" t="s">
        <v>272</v>
      </c>
      <c r="C24" t="s">
        <v>400</v>
      </c>
      <c r="D24" t="s">
        <v>400</v>
      </c>
      <c r="E24" t="s">
        <v>358</v>
      </c>
      <c r="F24" t="s">
        <v>301</v>
      </c>
      <c r="G24" t="s">
        <v>291</v>
      </c>
      <c r="H24" t="s">
        <v>402</v>
      </c>
      <c r="I24" t="s">
        <v>379</v>
      </c>
      <c r="J24" t="s">
        <v>408</v>
      </c>
      <c r="K24" t="s">
        <v>323</v>
      </c>
      <c r="L24" t="s">
        <v>409</v>
      </c>
      <c r="M24" t="s">
        <v>406</v>
      </c>
      <c r="N24" t="s">
        <v>284</v>
      </c>
      <c r="O24" t="s">
        <v>383</v>
      </c>
      <c r="P24" s="2" t="s">
        <v>493</v>
      </c>
      <c r="Q24" s="76" t="s">
        <v>498</v>
      </c>
    </row>
    <row r="25" spans="1:17" ht="12.75" hidden="1" customHeight="1">
      <c r="A25" t="s">
        <v>410</v>
      </c>
      <c r="B25" t="s">
        <v>272</v>
      </c>
      <c r="C25" t="s">
        <v>411</v>
      </c>
      <c r="D25" t="s">
        <v>412</v>
      </c>
      <c r="E25" t="s">
        <v>289</v>
      </c>
      <c r="F25" t="s">
        <v>301</v>
      </c>
      <c r="G25" t="s">
        <v>291</v>
      </c>
      <c r="H25" t="s">
        <v>413</v>
      </c>
      <c r="I25" t="s">
        <v>293</v>
      </c>
      <c r="J25" t="s">
        <v>414</v>
      </c>
      <c r="K25" t="s">
        <v>415</v>
      </c>
      <c r="L25" t="s">
        <v>416</v>
      </c>
      <c r="M25" t="s">
        <v>296</v>
      </c>
      <c r="N25" t="s">
        <v>284</v>
      </c>
      <c r="O25" t="s">
        <v>297</v>
      </c>
      <c r="P25"/>
    </row>
    <row r="26" spans="1:17" ht="12.75" hidden="1" customHeight="1">
      <c r="A26" t="s">
        <v>417</v>
      </c>
      <c r="B26" t="s">
        <v>272</v>
      </c>
      <c r="C26" t="s">
        <v>418</v>
      </c>
      <c r="D26" t="s">
        <v>419</v>
      </c>
      <c r="E26" t="s">
        <v>420</v>
      </c>
      <c r="F26" t="s">
        <v>401</v>
      </c>
      <c r="G26" t="s">
        <v>291</v>
      </c>
      <c r="H26" t="s">
        <v>395</v>
      </c>
      <c r="I26" t="s">
        <v>293</v>
      </c>
      <c r="J26" t="s">
        <v>421</v>
      </c>
      <c r="K26" t="s">
        <v>281</v>
      </c>
      <c r="L26" t="s">
        <v>422</v>
      </c>
      <c r="M26" t="s">
        <v>398</v>
      </c>
      <c r="N26" t="s">
        <v>369</v>
      </c>
      <c r="O26" t="s">
        <v>389</v>
      </c>
      <c r="P26"/>
    </row>
    <row r="27" spans="1:17" ht="12.75" hidden="1" customHeight="1">
      <c r="A27" t="s">
        <v>423</v>
      </c>
      <c r="B27" t="s">
        <v>272</v>
      </c>
      <c r="C27" t="s">
        <v>424</v>
      </c>
      <c r="D27" t="s">
        <v>425</v>
      </c>
      <c r="E27" t="s">
        <v>289</v>
      </c>
      <c r="F27" t="s">
        <v>426</v>
      </c>
      <c r="G27" t="s">
        <v>427</v>
      </c>
      <c r="H27"/>
      <c r="I27" t="s">
        <v>279</v>
      </c>
      <c r="J27" t="s">
        <v>428</v>
      </c>
      <c r="K27" t="s">
        <v>429</v>
      </c>
      <c r="L27" t="s">
        <v>430</v>
      </c>
      <c r="M27" t="s">
        <v>388</v>
      </c>
      <c r="N27" t="s">
        <v>284</v>
      </c>
      <c r="O27" t="s">
        <v>389</v>
      </c>
      <c r="P27"/>
    </row>
    <row r="28" spans="1:17" ht="12.75" customHeight="1">
      <c r="A28" s="555" t="s">
        <v>431</v>
      </c>
      <c r="B28" t="s">
        <v>272</v>
      </c>
      <c r="C28" t="s">
        <v>432</v>
      </c>
      <c r="D28" t="s">
        <v>432</v>
      </c>
      <c r="E28" t="s">
        <v>289</v>
      </c>
      <c r="F28" t="s">
        <v>433</v>
      </c>
      <c r="G28" t="s">
        <v>434</v>
      </c>
      <c r="H28"/>
      <c r="I28" t="s">
        <v>379</v>
      </c>
      <c r="J28" t="s">
        <v>435</v>
      </c>
      <c r="K28" t="s">
        <v>429</v>
      </c>
      <c r="L28" t="s">
        <v>436</v>
      </c>
      <c r="M28" t="s">
        <v>382</v>
      </c>
      <c r="N28" t="s">
        <v>284</v>
      </c>
      <c r="O28" t="s">
        <v>383</v>
      </c>
      <c r="P28" s="2" t="s">
        <v>493</v>
      </c>
      <c r="Q28" s="76" t="s">
        <v>498</v>
      </c>
    </row>
    <row r="29" spans="1:17" ht="12.75" hidden="1" customHeight="1">
      <c r="A29" t="s">
        <v>437</v>
      </c>
      <c r="B29" t="s">
        <v>272</v>
      </c>
      <c r="C29" t="s">
        <v>438</v>
      </c>
      <c r="D29" t="s">
        <v>439</v>
      </c>
      <c r="E29" t="s">
        <v>289</v>
      </c>
      <c r="F29" t="s">
        <v>440</v>
      </c>
      <c r="G29" t="s">
        <v>441</v>
      </c>
      <c r="H29" t="s">
        <v>329</v>
      </c>
      <c r="I29" t="s">
        <v>293</v>
      </c>
      <c r="J29" t="s">
        <v>442</v>
      </c>
      <c r="K29" t="s">
        <v>443</v>
      </c>
      <c r="L29" t="s">
        <v>444</v>
      </c>
      <c r="M29" t="s">
        <v>333</v>
      </c>
      <c r="N29" t="s">
        <v>284</v>
      </c>
      <c r="O29" t="s">
        <v>317</v>
      </c>
      <c r="P29"/>
    </row>
    <row r="30" spans="1:17" ht="12.75" hidden="1" customHeight="1">
      <c r="A30" t="s">
        <v>445</v>
      </c>
      <c r="B30" t="s">
        <v>272</v>
      </c>
      <c r="C30" t="s">
        <v>446</v>
      </c>
      <c r="D30" t="s">
        <v>447</v>
      </c>
      <c r="E30" t="s">
        <v>358</v>
      </c>
      <c r="F30" t="s">
        <v>448</v>
      </c>
      <c r="G30" t="s">
        <v>441</v>
      </c>
      <c r="H30" t="s">
        <v>395</v>
      </c>
      <c r="I30" t="s">
        <v>293</v>
      </c>
      <c r="J30" t="s">
        <v>449</v>
      </c>
      <c r="K30" t="s">
        <v>281</v>
      </c>
      <c r="L30" t="s">
        <v>450</v>
      </c>
      <c r="M30" t="s">
        <v>398</v>
      </c>
      <c r="N30" t="s">
        <v>284</v>
      </c>
      <c r="O30" t="s">
        <v>389</v>
      </c>
      <c r="P30"/>
    </row>
    <row r="31" spans="1:17" ht="12.75" customHeight="1">
      <c r="A31" t="s">
        <v>451</v>
      </c>
      <c r="B31" t="s">
        <v>452</v>
      </c>
      <c r="C31" t="s">
        <v>453</v>
      </c>
      <c r="D31" t="s">
        <v>453</v>
      </c>
      <c r="E31" t="s">
        <v>420</v>
      </c>
      <c r="F31" t="s">
        <v>359</v>
      </c>
      <c r="G31" t="s">
        <v>312</v>
      </c>
      <c r="H31" t="s">
        <v>454</v>
      </c>
      <c r="I31" t="s">
        <v>379</v>
      </c>
      <c r="J31" t="s">
        <v>455</v>
      </c>
      <c r="K31" t="s">
        <v>339</v>
      </c>
      <c r="L31" t="s">
        <v>295</v>
      </c>
      <c r="M31" t="s">
        <v>456</v>
      </c>
      <c r="N31" t="s">
        <v>284</v>
      </c>
      <c r="O31" t="s">
        <v>383</v>
      </c>
      <c r="P31" s="2" t="s">
        <v>493</v>
      </c>
      <c r="Q31" s="76" t="s">
        <v>498</v>
      </c>
    </row>
    <row r="32" spans="1:17" ht="12.75" customHeight="1">
      <c r="A32" t="s">
        <v>457</v>
      </c>
      <c r="B32" t="s">
        <v>272</v>
      </c>
      <c r="C32" t="s">
        <v>453</v>
      </c>
      <c r="D32" t="s">
        <v>453</v>
      </c>
      <c r="E32" t="s">
        <v>458</v>
      </c>
      <c r="F32" t="s">
        <v>311</v>
      </c>
      <c r="G32" t="s">
        <v>312</v>
      </c>
      <c r="H32" t="s">
        <v>454</v>
      </c>
      <c r="I32" t="s">
        <v>379</v>
      </c>
      <c r="J32" t="s">
        <v>459</v>
      </c>
      <c r="K32" t="s">
        <v>339</v>
      </c>
      <c r="L32" t="s">
        <v>295</v>
      </c>
      <c r="M32" t="s">
        <v>456</v>
      </c>
      <c r="N32" t="s">
        <v>284</v>
      </c>
      <c r="O32" t="s">
        <v>383</v>
      </c>
      <c r="P32" s="2" t="s">
        <v>493</v>
      </c>
      <c r="Q32" s="76" t="s">
        <v>498</v>
      </c>
    </row>
    <row r="33" spans="1:17" ht="12.75" customHeight="1">
      <c r="A33" s="555" t="s">
        <v>460</v>
      </c>
      <c r="B33" t="s">
        <v>272</v>
      </c>
      <c r="C33" t="s">
        <v>453</v>
      </c>
      <c r="D33" t="s">
        <v>453</v>
      </c>
      <c r="E33" t="s">
        <v>358</v>
      </c>
      <c r="F33" t="s">
        <v>359</v>
      </c>
      <c r="G33" t="s">
        <v>312</v>
      </c>
      <c r="H33"/>
      <c r="I33" t="s">
        <v>379</v>
      </c>
      <c r="J33" t="s">
        <v>461</v>
      </c>
      <c r="K33" t="s">
        <v>339</v>
      </c>
      <c r="L33" t="s">
        <v>462</v>
      </c>
      <c r="M33" t="s">
        <v>382</v>
      </c>
      <c r="N33" t="s">
        <v>284</v>
      </c>
      <c r="O33" t="s">
        <v>383</v>
      </c>
      <c r="P33" s="2" t="s">
        <v>493</v>
      </c>
      <c r="Q33" s="76" t="s">
        <v>498</v>
      </c>
    </row>
    <row r="34" spans="1:17" ht="12.75" customHeight="1">
      <c r="A34" s="555" t="s">
        <v>463</v>
      </c>
      <c r="B34" t="s">
        <v>272</v>
      </c>
      <c r="C34" t="s">
        <v>464</v>
      </c>
      <c r="D34" t="s">
        <v>464</v>
      </c>
      <c r="E34" t="s">
        <v>289</v>
      </c>
      <c r="F34" t="s">
        <v>465</v>
      </c>
      <c r="G34" t="s">
        <v>466</v>
      </c>
      <c r="I34" t="s">
        <v>379</v>
      </c>
      <c r="J34" t="s">
        <v>467</v>
      </c>
      <c r="K34" t="s">
        <v>429</v>
      </c>
      <c r="L34" t="s">
        <v>367</v>
      </c>
      <c r="M34" t="s">
        <v>382</v>
      </c>
      <c r="N34" t="s">
        <v>284</v>
      </c>
      <c r="O34" t="s">
        <v>383</v>
      </c>
      <c r="P34" s="2" t="s">
        <v>493</v>
      </c>
      <c r="Q34" s="76" t="s">
        <v>498</v>
      </c>
    </row>
    <row r="35" spans="1:17" ht="12.75" hidden="1" customHeight="1">
      <c r="A35" t="s">
        <v>468</v>
      </c>
      <c r="B35" t="s">
        <v>272</v>
      </c>
      <c r="C35" t="s">
        <v>469</v>
      </c>
      <c r="D35" t="s">
        <v>470</v>
      </c>
      <c r="E35" t="s">
        <v>458</v>
      </c>
      <c r="F35" t="s">
        <v>471</v>
      </c>
      <c r="G35" t="s">
        <v>472</v>
      </c>
      <c r="I35" t="s">
        <v>279</v>
      </c>
      <c r="J35" t="s">
        <v>473</v>
      </c>
      <c r="K35" t="s">
        <v>474</v>
      </c>
      <c r="L35" t="s">
        <v>475</v>
      </c>
      <c r="M35" t="s">
        <v>388</v>
      </c>
      <c r="N35" t="s">
        <v>476</v>
      </c>
      <c r="O35" t="s">
        <v>389</v>
      </c>
      <c r="P35"/>
    </row>
    <row r="36" spans="1:17" ht="12.75" hidden="1" customHeight="1">
      <c r="A36" t="s">
        <v>477</v>
      </c>
      <c r="B36" t="s">
        <v>272</v>
      </c>
      <c r="C36" t="s">
        <v>478</v>
      </c>
      <c r="D36" t="s">
        <v>479</v>
      </c>
      <c r="E36" t="s">
        <v>289</v>
      </c>
      <c r="F36" t="s">
        <v>471</v>
      </c>
      <c r="G36" t="s">
        <v>472</v>
      </c>
      <c r="H36"/>
      <c r="I36" t="s">
        <v>279</v>
      </c>
      <c r="J36" t="s">
        <v>480</v>
      </c>
      <c r="K36" t="s">
        <v>481</v>
      </c>
      <c r="L36" t="s">
        <v>482</v>
      </c>
      <c r="M36" t="s">
        <v>388</v>
      </c>
      <c r="N36" t="s">
        <v>476</v>
      </c>
      <c r="O36" t="s">
        <v>389</v>
      </c>
      <c r="P36"/>
    </row>
    <row r="37" spans="1:17" ht="12.75" hidden="1" customHeight="1">
      <c r="A37" t="s">
        <v>483</v>
      </c>
      <c r="B37" t="s">
        <v>272</v>
      </c>
      <c r="C37" t="s">
        <v>343</v>
      </c>
      <c r="D37" t="s">
        <v>344</v>
      </c>
      <c r="E37" t="s">
        <v>275</v>
      </c>
      <c r="F37" t="s">
        <v>311</v>
      </c>
      <c r="G37" t="s">
        <v>312</v>
      </c>
      <c r="H37" t="s">
        <v>395</v>
      </c>
      <c r="I37" t="s">
        <v>293</v>
      </c>
      <c r="J37" t="s">
        <v>348</v>
      </c>
      <c r="K37" t="s">
        <v>304</v>
      </c>
      <c r="L37" t="s">
        <v>349</v>
      </c>
      <c r="M37" t="s">
        <v>398</v>
      </c>
      <c r="N37" t="s">
        <v>284</v>
      </c>
      <c r="O37" t="s">
        <v>389</v>
      </c>
      <c r="P37"/>
    </row>
    <row r="38" spans="1:17" ht="12.75" hidden="1" customHeight="1">
      <c r="A38" t="s">
        <v>484</v>
      </c>
      <c r="B38" t="s">
        <v>272</v>
      </c>
      <c r="C38" t="s">
        <v>485</v>
      </c>
      <c r="D38" t="s">
        <v>486</v>
      </c>
      <c r="E38" t="s">
        <v>289</v>
      </c>
      <c r="F38" t="s">
        <v>487</v>
      </c>
      <c r="G38" t="s">
        <v>472</v>
      </c>
      <c r="H38"/>
      <c r="I38" t="s">
        <v>279</v>
      </c>
      <c r="J38" t="s">
        <v>488</v>
      </c>
      <c r="K38" t="s">
        <v>429</v>
      </c>
      <c r="L38" t="s">
        <v>489</v>
      </c>
      <c r="M38" t="s">
        <v>388</v>
      </c>
      <c r="N38" t="s">
        <v>476</v>
      </c>
      <c r="O38" t="s">
        <v>389</v>
      </c>
      <c r="P38"/>
    </row>
    <row r="39" spans="1:17" ht="12.75" customHeight="1">
      <c r="A39" s="555" t="s">
        <v>490</v>
      </c>
      <c r="B39" t="s">
        <v>272</v>
      </c>
      <c r="C39" t="s">
        <v>453</v>
      </c>
      <c r="D39" t="s">
        <v>453</v>
      </c>
      <c r="E39" t="s">
        <v>289</v>
      </c>
      <c r="F39" t="s">
        <v>311</v>
      </c>
      <c r="G39" t="s">
        <v>312</v>
      </c>
      <c r="H39"/>
      <c r="I39" t="s">
        <v>379</v>
      </c>
      <c r="J39" t="s">
        <v>491</v>
      </c>
      <c r="K39" t="s">
        <v>323</v>
      </c>
      <c r="L39" t="s">
        <v>492</v>
      </c>
      <c r="M39" t="s">
        <v>382</v>
      </c>
      <c r="N39" t="s">
        <v>284</v>
      </c>
      <c r="O39" t="s">
        <v>383</v>
      </c>
      <c r="P39" s="2" t="s">
        <v>493</v>
      </c>
      <c r="Q39" s="76" t="s">
        <v>498</v>
      </c>
    </row>
    <row r="40" spans="1:17" ht="12.75" customHeight="1">
      <c r="A40"/>
      <c r="B40"/>
      <c r="C40"/>
      <c r="D40"/>
      <c r="E40"/>
      <c r="F40"/>
      <c r="G40"/>
      <c r="H40"/>
      <c r="I40"/>
      <c r="J40"/>
      <c r="K40"/>
      <c r="L40"/>
      <c r="M40"/>
      <c r="N40"/>
      <c r="O40"/>
      <c r="P40"/>
    </row>
    <row r="41" spans="1:17" ht="12.75" customHeight="1">
      <c r="A41"/>
      <c r="B41"/>
      <c r="C41"/>
      <c r="D41"/>
      <c r="E41"/>
      <c r="F41"/>
      <c r="G41"/>
      <c r="I41"/>
      <c r="J41"/>
      <c r="K41"/>
      <c r="L41"/>
      <c r="M41"/>
      <c r="N41"/>
      <c r="O41"/>
      <c r="P41"/>
    </row>
    <row r="42" spans="1:17" ht="12.75" customHeight="1">
      <c r="A42"/>
      <c r="B42"/>
      <c r="C42"/>
      <c r="D42"/>
      <c r="E42"/>
      <c r="F42"/>
      <c r="G42"/>
      <c r="H42"/>
      <c r="I42"/>
      <c r="J42"/>
      <c r="K42"/>
      <c r="L42"/>
      <c r="M42"/>
      <c r="N42"/>
      <c r="O42"/>
      <c r="P42"/>
    </row>
    <row r="43" spans="1:17" ht="12.75" customHeight="1">
      <c r="A43"/>
      <c r="B43"/>
      <c r="C43"/>
      <c r="D43"/>
      <c r="E43"/>
      <c r="F43"/>
      <c r="G43"/>
      <c r="H43"/>
      <c r="I43"/>
      <c r="J43"/>
      <c r="K43"/>
      <c r="L43"/>
      <c r="M43"/>
      <c r="N43"/>
      <c r="O43"/>
      <c r="P43"/>
    </row>
    <row r="44" spans="1:17" ht="12.75" customHeight="1">
      <c r="A44"/>
      <c r="B44"/>
      <c r="C44"/>
      <c r="D44"/>
      <c r="E44"/>
      <c r="F44"/>
      <c r="G44"/>
      <c r="H44"/>
      <c r="I44"/>
      <c r="J44"/>
      <c r="K44"/>
      <c r="L44"/>
      <c r="M44"/>
      <c r="N44"/>
      <c r="O44"/>
      <c r="P44"/>
    </row>
    <row r="45" spans="1:17" ht="12.75" customHeight="1">
      <c r="A45"/>
      <c r="B45"/>
      <c r="C45"/>
      <c r="D45"/>
      <c r="E45"/>
      <c r="F45"/>
      <c r="G45"/>
      <c r="H45"/>
      <c r="I45"/>
      <c r="J45"/>
      <c r="K45"/>
      <c r="L45"/>
      <c r="M45"/>
      <c r="N45"/>
      <c r="O45"/>
      <c r="P45"/>
    </row>
    <row r="46" spans="1:17" ht="12.75" customHeight="1">
      <c r="A46"/>
      <c r="B46"/>
      <c r="C46"/>
      <c r="D46"/>
      <c r="E46"/>
      <c r="F46"/>
      <c r="G46"/>
      <c r="H46"/>
      <c r="I46"/>
      <c r="J46"/>
      <c r="K46"/>
      <c r="L46"/>
      <c r="M46"/>
      <c r="N46"/>
      <c r="O46"/>
      <c r="P46"/>
    </row>
    <row r="47" spans="1:17" ht="12.75" customHeight="1">
      <c r="A47"/>
      <c r="B47"/>
      <c r="C47"/>
      <c r="D47"/>
      <c r="E47"/>
      <c r="F47"/>
      <c r="G47"/>
      <c r="I47"/>
      <c r="J47"/>
      <c r="K47"/>
      <c r="L47"/>
      <c r="M47"/>
      <c r="N47"/>
      <c r="O47"/>
      <c r="P47"/>
    </row>
    <row r="48" spans="1:17" ht="12.75" customHeight="1">
      <c r="A48"/>
      <c r="B48"/>
      <c r="C48"/>
      <c r="D48"/>
      <c r="E48"/>
      <c r="F48"/>
      <c r="G48"/>
      <c r="I48"/>
      <c r="J48"/>
      <c r="K48"/>
      <c r="L48"/>
      <c r="M48"/>
      <c r="N48"/>
      <c r="O48"/>
      <c r="P48"/>
    </row>
    <row r="49" spans="1:16" ht="12.75" customHeight="1">
      <c r="A49"/>
      <c r="B49"/>
      <c r="C49"/>
      <c r="D49"/>
      <c r="E49"/>
      <c r="F49"/>
      <c r="G49"/>
      <c r="I49"/>
      <c r="J49"/>
      <c r="K49"/>
      <c r="L49"/>
      <c r="M49"/>
      <c r="N49"/>
      <c r="O49"/>
      <c r="P49"/>
    </row>
    <row r="50" spans="1:16" ht="12.75" customHeight="1">
      <c r="A50"/>
      <c r="B50"/>
      <c r="C50"/>
      <c r="D50"/>
      <c r="E50"/>
      <c r="F50"/>
      <c r="G50"/>
      <c r="I50"/>
      <c r="J50"/>
      <c r="K50"/>
      <c r="L50"/>
      <c r="M50"/>
      <c r="N50"/>
      <c r="O50"/>
      <c r="P50"/>
    </row>
    <row r="51" spans="1:16" ht="12.75" customHeight="1">
      <c r="A51"/>
      <c r="B51"/>
      <c r="C51"/>
      <c r="D51"/>
      <c r="E51"/>
      <c r="F51"/>
      <c r="G51"/>
      <c r="H51"/>
      <c r="I51"/>
      <c r="J51"/>
      <c r="K51"/>
      <c r="L51"/>
      <c r="M51"/>
      <c r="N51"/>
      <c r="O51"/>
      <c r="P51"/>
    </row>
    <row r="52" spans="1:16" ht="12.75" customHeight="1">
      <c r="A52"/>
      <c r="B52"/>
      <c r="C52"/>
      <c r="D52"/>
      <c r="E52"/>
      <c r="F52"/>
      <c r="G52"/>
      <c r="I52"/>
      <c r="J52"/>
      <c r="K52"/>
      <c r="L52"/>
      <c r="M52"/>
      <c r="N52"/>
      <c r="O52"/>
      <c r="P52"/>
    </row>
    <row r="53" spans="1:16" ht="12.75" customHeight="1">
      <c r="A53"/>
      <c r="B53"/>
      <c r="C53"/>
      <c r="D53"/>
      <c r="E53"/>
      <c r="F53"/>
      <c r="G53"/>
      <c r="I53"/>
      <c r="J53"/>
      <c r="K53"/>
      <c r="L53"/>
      <c r="M53"/>
      <c r="N53"/>
      <c r="O53"/>
      <c r="P53"/>
    </row>
  </sheetData>
  <autoFilter ref="A7:P39" xr:uid="{00000000-0001-0000-0700-000000000000}">
    <filterColumn colId="14">
      <filters>
        <filter val="Canada"/>
      </filters>
    </filterColumn>
  </autoFilter>
  <pageMargins left="0.75" right="0.75" top="1" bottom="1" header="0.5" footer="0.5"/>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RUN_Export_CO">
                <anchor moveWithCells="1" sizeWithCells="1">
                  <from>
                    <xdr:col>0</xdr:col>
                    <xdr:colOff>914400</xdr:colOff>
                    <xdr:row>2</xdr:row>
                    <xdr:rowOff>114300</xdr:rowOff>
                  </from>
                  <to>
                    <xdr:col>2</xdr:col>
                    <xdr:colOff>438150</xdr:colOff>
                    <xdr:row>5</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7</vt:i4>
      </vt:variant>
    </vt:vector>
  </HeadingPairs>
  <TitlesOfParts>
    <vt:vector size="15" baseType="lpstr">
      <vt:lpstr>CPTPP CANADA</vt:lpstr>
      <vt:lpstr>CPTPP MEXICO</vt:lpstr>
      <vt:lpstr>D</vt:lpstr>
      <vt:lpstr>AANZ</vt:lpstr>
      <vt:lpstr>AK</vt:lpstr>
      <vt:lpstr>CONG VAN ASI </vt:lpstr>
      <vt:lpstr>CONG VAN CTH</vt:lpstr>
      <vt:lpstr>Data</vt:lpstr>
      <vt:lpstr>AANZ!Print_Area</vt:lpstr>
      <vt:lpstr>AK!Print_Area</vt:lpstr>
      <vt:lpstr>'CONG VAN ASI '!Print_Area</vt:lpstr>
      <vt:lpstr>'CONG VAN CTH'!Print_Area</vt:lpstr>
      <vt:lpstr>'CPTPP CANADA'!Print_Area</vt:lpstr>
      <vt:lpstr>'CPTPP MEXICO'!Print_Area</vt:lpstr>
      <vt:lpstr>D!Print_Area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Hanh Nguyen</dc:creator>
  <cp:lastModifiedBy>Hanh Nguyen</cp:lastModifiedBy>
  <cp:lastPrinted>2025-10-10T07:42:04Z</cp:lastPrinted>
  <dcterms:created xsi:type="dcterms:W3CDTF">2025-08-06T09:52:04Z</dcterms:created>
  <dcterms:modified xsi:type="dcterms:W3CDTF">2025-10-10T09:59:54Z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reated">
    <vt:filetime>2025-08-06T00:00:00Z</vt:filetime>
  </property>
  <property fmtid="{D5CDD505-2E9C-101B-9397-08002B2CF9AE}" pid="3" name="LastSaved">
    <vt:filetime>2025-08-06T00:00:00Z</vt:filetime>
  </property>
  <property fmtid="{D5CDD505-2E9C-101B-9397-08002B2CF9AE}" pid="4" name="Producer">
    <vt:lpwstr>Adobe Acrobat (64-bit) 25 Paper Capture Plug-in</vt:lpwstr>
  </property>
</Properties>
</file>